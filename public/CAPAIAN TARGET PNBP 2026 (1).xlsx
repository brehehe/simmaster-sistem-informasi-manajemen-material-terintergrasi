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FAN\FILE 2026\CAPAIAN PNBP 2026\"/>
    </mc:Choice>
  </mc:AlternateContent>
  <bookViews>
    <workbookView xWindow="-120" yWindow="-120" windowWidth="29040" windowHeight="15720" tabRatio="768" firstSheet="1" activeTab="8"/>
  </bookViews>
  <sheets>
    <sheet name="JANUARI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8" r:id="rId7"/>
    <sheet name="AGUSTUS" sheetId="9" r:id="rId8"/>
    <sheet name="SEPT" sheetId="10" r:id="rId9"/>
    <sheet name="OKT" sheetId="11" r:id="rId10"/>
    <sheet name="NOV" sheetId="12" r:id="rId11"/>
    <sheet name="DES" sheetId="13" r:id="rId12"/>
    <sheet name="REKAP" sheetId="14" r:id="rId13"/>
  </sheets>
  <externalReferences>
    <externalReference r:id="rId14"/>
  </externalReferences>
  <definedNames>
    <definedName name="_xlnm.Print_Area" localSheetId="12">REKAP!$B$1:$O$99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7" l="1"/>
  <c r="L35" i="14"/>
  <c r="N35" i="14" s="1"/>
  <c r="L39" i="14"/>
  <c r="L40" i="14"/>
  <c r="L42" i="14"/>
  <c r="L43" i="14"/>
  <c r="N43" i="14" s="1"/>
  <c r="L46" i="14"/>
  <c r="L47" i="14"/>
  <c r="N47" i="14" s="1"/>
  <c r="L50" i="14"/>
  <c r="N50" i="14" s="1"/>
  <c r="L51" i="14"/>
  <c r="L52" i="14"/>
  <c r="L54" i="14"/>
  <c r="L55" i="14"/>
  <c r="N55" i="14" s="1"/>
  <c r="L59" i="14"/>
  <c r="N59" i="14" s="1"/>
  <c r="L60" i="14"/>
  <c r="N60" i="14" s="1"/>
  <c r="L62" i="14"/>
  <c r="L63" i="14"/>
  <c r="N63" i="14" s="1"/>
  <c r="L66" i="14"/>
  <c r="N66" i="14" s="1"/>
  <c r="L67" i="14"/>
  <c r="L87" i="14"/>
  <c r="N87" i="14" s="1"/>
  <c r="L88" i="14"/>
  <c r="N88" i="14" s="1"/>
  <c r="L90" i="14"/>
  <c r="L91" i="14"/>
  <c r="N91" i="14" s="1"/>
  <c r="L93" i="14"/>
  <c r="L94" i="14"/>
  <c r="N94" i="14" s="1"/>
  <c r="L96" i="14"/>
  <c r="L97" i="14"/>
  <c r="N97" i="14" s="1"/>
  <c r="L26" i="14"/>
  <c r="N26" i="14" s="1"/>
  <c r="L27" i="14"/>
  <c r="N27" i="14" s="1"/>
  <c r="L28" i="14"/>
  <c r="N28" i="14" s="1"/>
  <c r="L29" i="14"/>
  <c r="N29" i="14" s="1"/>
  <c r="L30" i="14"/>
  <c r="N30" i="14" s="1"/>
  <c r="L31" i="14"/>
  <c r="N31" i="14" s="1"/>
  <c r="L32" i="14"/>
  <c r="N32" i="14" s="1"/>
  <c r="L33" i="14"/>
  <c r="N33" i="14" s="1"/>
  <c r="L25" i="14"/>
  <c r="N25" i="14" s="1"/>
  <c r="L15" i="14"/>
  <c r="N15" i="14" s="1"/>
  <c r="L16" i="14"/>
  <c r="N16" i="14" s="1"/>
  <c r="L17" i="14"/>
  <c r="N17" i="14" s="1"/>
  <c r="L18" i="14"/>
  <c r="N18" i="14" s="1"/>
  <c r="L19" i="14"/>
  <c r="N19" i="14" s="1"/>
  <c r="L20" i="14"/>
  <c r="N20" i="14" s="1"/>
  <c r="L21" i="14"/>
  <c r="N21" i="14" s="1"/>
  <c r="L22" i="14"/>
  <c r="N22" i="14" s="1"/>
  <c r="L14" i="14"/>
  <c r="N14" i="14" s="1"/>
  <c r="K97" i="14"/>
  <c r="K96" i="14"/>
  <c r="K94" i="14"/>
  <c r="K93" i="14"/>
  <c r="K91" i="14"/>
  <c r="K90" i="14"/>
  <c r="K88" i="14"/>
  <c r="K87" i="14"/>
  <c r="K83" i="14"/>
  <c r="K82" i="14"/>
  <c r="K81" i="14" s="1"/>
  <c r="K80" i="14"/>
  <c r="K79" i="14"/>
  <c r="K75" i="14"/>
  <c r="K74" i="14"/>
  <c r="K72" i="14"/>
  <c r="K71" i="14"/>
  <c r="I99" i="14"/>
  <c r="K67" i="14"/>
  <c r="K66" i="14"/>
  <c r="K63" i="14"/>
  <c r="K62" i="14"/>
  <c r="K60" i="14"/>
  <c r="K59" i="14"/>
  <c r="K55" i="14"/>
  <c r="K54" i="14"/>
  <c r="K51" i="14"/>
  <c r="K50" i="14"/>
  <c r="K47" i="14"/>
  <c r="K46" i="14"/>
  <c r="K43" i="14"/>
  <c r="K42" i="14"/>
  <c r="K40" i="14"/>
  <c r="K39" i="14"/>
  <c r="K35" i="14"/>
  <c r="K33" i="14"/>
  <c r="K32" i="14"/>
  <c r="K31" i="14"/>
  <c r="K30" i="14"/>
  <c r="K29" i="14"/>
  <c r="K28" i="14"/>
  <c r="K27" i="14"/>
  <c r="K26" i="14"/>
  <c r="K25" i="14"/>
  <c r="K22" i="14"/>
  <c r="K21" i="14"/>
  <c r="K20" i="14"/>
  <c r="K19" i="14"/>
  <c r="K18" i="14"/>
  <c r="K17" i="14"/>
  <c r="K16" i="14"/>
  <c r="K15" i="14"/>
  <c r="K14" i="14"/>
  <c r="N97" i="13"/>
  <c r="K97" i="13"/>
  <c r="N96" i="13"/>
  <c r="K96" i="13"/>
  <c r="L95" i="13"/>
  <c r="N94" i="13"/>
  <c r="K94" i="13"/>
  <c r="O94" i="13" s="1"/>
  <c r="N93" i="13"/>
  <c r="K93" i="13"/>
  <c r="L92" i="13"/>
  <c r="N91" i="13"/>
  <c r="K91" i="13"/>
  <c r="N90" i="13"/>
  <c r="K90" i="13"/>
  <c r="N89" i="13"/>
  <c r="L89" i="13"/>
  <c r="N88" i="13"/>
  <c r="K88" i="13"/>
  <c r="O88" i="13" s="1"/>
  <c r="N87" i="13"/>
  <c r="K87" i="13"/>
  <c r="L86" i="13"/>
  <c r="L85" i="13" s="1"/>
  <c r="L83" i="13"/>
  <c r="N83" i="13" s="1"/>
  <c r="K83" i="13"/>
  <c r="L82" i="13"/>
  <c r="K82" i="13"/>
  <c r="L80" i="13"/>
  <c r="N80" i="13" s="1"/>
  <c r="K80" i="13"/>
  <c r="L79" i="13"/>
  <c r="N79" i="13" s="1"/>
  <c r="K79" i="13"/>
  <c r="L75" i="13"/>
  <c r="N75" i="13" s="1"/>
  <c r="K75" i="13"/>
  <c r="L74" i="13"/>
  <c r="N74" i="13" s="1"/>
  <c r="K74" i="13"/>
  <c r="L72" i="13"/>
  <c r="N72" i="13" s="1"/>
  <c r="K72" i="13"/>
  <c r="L71" i="13"/>
  <c r="K71" i="13"/>
  <c r="K70" i="13" s="1"/>
  <c r="I99" i="13"/>
  <c r="N67" i="13"/>
  <c r="K67" i="13"/>
  <c r="O67" i="13" s="1"/>
  <c r="N66" i="13"/>
  <c r="K66" i="13"/>
  <c r="K65" i="13" s="1"/>
  <c r="L65" i="13"/>
  <c r="N63" i="13"/>
  <c r="K63" i="13"/>
  <c r="N62" i="13"/>
  <c r="K62" i="13"/>
  <c r="L61" i="13"/>
  <c r="N60" i="13"/>
  <c r="K60" i="13"/>
  <c r="O60" i="13" s="1"/>
  <c r="N59" i="13"/>
  <c r="K59" i="13"/>
  <c r="L58" i="13"/>
  <c r="N55" i="13"/>
  <c r="N53" i="13" s="1"/>
  <c r="K55" i="13"/>
  <c r="N54" i="13"/>
  <c r="K54" i="13"/>
  <c r="L53" i="13"/>
  <c r="N51" i="13"/>
  <c r="K51" i="13"/>
  <c r="N50" i="13"/>
  <c r="K50" i="13"/>
  <c r="K49" i="13" s="1"/>
  <c r="L49" i="13"/>
  <c r="N47" i="13"/>
  <c r="K47" i="13"/>
  <c r="N46" i="13"/>
  <c r="N45" i="13" s="1"/>
  <c r="K46" i="13"/>
  <c r="L45" i="13"/>
  <c r="N43" i="13"/>
  <c r="K43" i="13"/>
  <c r="N42" i="13"/>
  <c r="K42" i="13"/>
  <c r="L41" i="13"/>
  <c r="N40" i="13"/>
  <c r="N38" i="13" s="1"/>
  <c r="K40" i="13"/>
  <c r="N39" i="13"/>
  <c r="K39" i="13"/>
  <c r="L38" i="13"/>
  <c r="N35" i="13"/>
  <c r="K35" i="13"/>
  <c r="O35" i="13" s="1"/>
  <c r="N33" i="13"/>
  <c r="K33" i="13"/>
  <c r="N32" i="13"/>
  <c r="K32" i="13"/>
  <c r="O32" i="13" s="1"/>
  <c r="N31" i="13"/>
  <c r="K31" i="13"/>
  <c r="O31" i="13" s="1"/>
  <c r="N30" i="13"/>
  <c r="K30" i="13"/>
  <c r="N29" i="13"/>
  <c r="K29" i="13"/>
  <c r="N28" i="13"/>
  <c r="K28" i="13"/>
  <c r="O28" i="13" s="1"/>
  <c r="N27" i="13"/>
  <c r="K27" i="13"/>
  <c r="N26" i="13"/>
  <c r="K26" i="13"/>
  <c r="N25" i="13"/>
  <c r="K25" i="13"/>
  <c r="L24" i="13"/>
  <c r="N22" i="13"/>
  <c r="K22" i="13"/>
  <c r="N21" i="13"/>
  <c r="K21" i="13"/>
  <c r="N20" i="13"/>
  <c r="K20" i="13"/>
  <c r="N19" i="13"/>
  <c r="K19" i="13"/>
  <c r="N18" i="13"/>
  <c r="K18" i="13"/>
  <c r="N17" i="13"/>
  <c r="K17" i="13"/>
  <c r="N16" i="13"/>
  <c r="K16" i="13"/>
  <c r="N15" i="13"/>
  <c r="K15" i="13"/>
  <c r="N14" i="13"/>
  <c r="K14" i="13"/>
  <c r="L13" i="13"/>
  <c r="N97" i="12"/>
  <c r="K97" i="12"/>
  <c r="N96" i="12"/>
  <c r="K96" i="12"/>
  <c r="L95" i="12"/>
  <c r="N94" i="12"/>
  <c r="K94" i="12"/>
  <c r="O94" i="12" s="1"/>
  <c r="N93" i="12"/>
  <c r="K93" i="12"/>
  <c r="L92" i="12"/>
  <c r="N91" i="12"/>
  <c r="K91" i="12"/>
  <c r="N90" i="12"/>
  <c r="K90" i="12"/>
  <c r="L89" i="12"/>
  <c r="N88" i="12"/>
  <c r="K88" i="12"/>
  <c r="N87" i="12"/>
  <c r="K87" i="12"/>
  <c r="K86" i="12" s="1"/>
  <c r="L86" i="12"/>
  <c r="L83" i="12"/>
  <c r="N83" i="12" s="1"/>
  <c r="K83" i="12"/>
  <c r="L82" i="12"/>
  <c r="N82" i="12" s="1"/>
  <c r="K82" i="12"/>
  <c r="L80" i="12"/>
  <c r="N80" i="12" s="1"/>
  <c r="K80" i="12"/>
  <c r="L79" i="12"/>
  <c r="K79" i="12"/>
  <c r="L75" i="12"/>
  <c r="N75" i="12" s="1"/>
  <c r="K75" i="12"/>
  <c r="L74" i="12"/>
  <c r="N74" i="12" s="1"/>
  <c r="K74" i="12"/>
  <c r="L72" i="12"/>
  <c r="N72" i="12" s="1"/>
  <c r="K72" i="12"/>
  <c r="L71" i="12"/>
  <c r="N71" i="12" s="1"/>
  <c r="K71" i="12"/>
  <c r="K70" i="12" s="1"/>
  <c r="I99" i="12"/>
  <c r="N67" i="12"/>
  <c r="K67" i="12"/>
  <c r="N66" i="12"/>
  <c r="K66" i="12"/>
  <c r="L65" i="12"/>
  <c r="N63" i="12"/>
  <c r="K63" i="12"/>
  <c r="N62" i="12"/>
  <c r="K62" i="12"/>
  <c r="L61" i="12"/>
  <c r="N60" i="12"/>
  <c r="K60" i="12"/>
  <c r="N59" i="12"/>
  <c r="K59" i="12"/>
  <c r="K58" i="12" s="1"/>
  <c r="L58" i="12"/>
  <c r="N55" i="12"/>
  <c r="K55" i="12"/>
  <c r="N54" i="12"/>
  <c r="K54" i="12"/>
  <c r="L53" i="12"/>
  <c r="N51" i="12"/>
  <c r="K51" i="12"/>
  <c r="N50" i="12"/>
  <c r="K50" i="12"/>
  <c r="L49" i="12"/>
  <c r="N47" i="12"/>
  <c r="N45" i="12" s="1"/>
  <c r="K47" i="12"/>
  <c r="N46" i="12"/>
  <c r="K46" i="12"/>
  <c r="L45" i="12"/>
  <c r="N43" i="12"/>
  <c r="K43" i="12"/>
  <c r="N42" i="12"/>
  <c r="K42" i="12"/>
  <c r="L41" i="12"/>
  <c r="N40" i="12"/>
  <c r="K40" i="12"/>
  <c r="N39" i="12"/>
  <c r="K39" i="12"/>
  <c r="L38" i="12"/>
  <c r="N35" i="12"/>
  <c r="K35" i="12"/>
  <c r="N33" i="12"/>
  <c r="K33" i="12"/>
  <c r="N32" i="12"/>
  <c r="K32" i="12"/>
  <c r="N31" i="12"/>
  <c r="K31" i="12"/>
  <c r="N30" i="12"/>
  <c r="K30" i="12"/>
  <c r="N29" i="12"/>
  <c r="K29" i="12"/>
  <c r="N28" i="12"/>
  <c r="K28" i="12"/>
  <c r="N27" i="12"/>
  <c r="K27" i="12"/>
  <c r="N26" i="12"/>
  <c r="K26" i="12"/>
  <c r="N25" i="12"/>
  <c r="K25" i="12"/>
  <c r="L24" i="12"/>
  <c r="N22" i="12"/>
  <c r="K22" i="12"/>
  <c r="N21" i="12"/>
  <c r="K21" i="12"/>
  <c r="N20" i="12"/>
  <c r="K20" i="12"/>
  <c r="N19" i="12"/>
  <c r="K19" i="12"/>
  <c r="N18" i="12"/>
  <c r="K18" i="12"/>
  <c r="N17" i="12"/>
  <c r="K17" i="12"/>
  <c r="N16" i="12"/>
  <c r="K16" i="12"/>
  <c r="N15" i="12"/>
  <c r="K15" i="12"/>
  <c r="N14" i="12"/>
  <c r="K14" i="12"/>
  <c r="L13" i="12"/>
  <c r="N97" i="11"/>
  <c r="K97" i="11"/>
  <c r="N96" i="11"/>
  <c r="K96" i="11"/>
  <c r="L95" i="11"/>
  <c r="N94" i="11"/>
  <c r="K94" i="11"/>
  <c r="N93" i="11"/>
  <c r="K93" i="11"/>
  <c r="L92" i="11"/>
  <c r="N91" i="11"/>
  <c r="K91" i="11"/>
  <c r="N90" i="11"/>
  <c r="K90" i="11"/>
  <c r="L89" i="11"/>
  <c r="N88" i="11"/>
  <c r="K88" i="11"/>
  <c r="N87" i="11"/>
  <c r="K87" i="11"/>
  <c r="L86" i="11"/>
  <c r="L83" i="11"/>
  <c r="N83" i="11" s="1"/>
  <c r="K83" i="11"/>
  <c r="L82" i="11"/>
  <c r="K82" i="11"/>
  <c r="L80" i="11"/>
  <c r="N80" i="11" s="1"/>
  <c r="K80" i="11"/>
  <c r="L79" i="11"/>
  <c r="K79" i="11"/>
  <c r="L75" i="11"/>
  <c r="K75" i="11"/>
  <c r="K73" i="11" s="1"/>
  <c r="L74" i="11"/>
  <c r="N74" i="11" s="1"/>
  <c r="K74" i="11"/>
  <c r="L72" i="11"/>
  <c r="N72" i="11" s="1"/>
  <c r="K72" i="11"/>
  <c r="L71" i="11"/>
  <c r="K71" i="11"/>
  <c r="I99" i="11"/>
  <c r="N67" i="11"/>
  <c r="K67" i="11"/>
  <c r="N66" i="11"/>
  <c r="K66" i="11"/>
  <c r="L65" i="11"/>
  <c r="N63" i="11"/>
  <c r="K63" i="11"/>
  <c r="N62" i="11"/>
  <c r="K62" i="11"/>
  <c r="L61" i="11"/>
  <c r="N60" i="11"/>
  <c r="K60" i="11"/>
  <c r="N59" i="11"/>
  <c r="K59" i="11"/>
  <c r="L58" i="11"/>
  <c r="N55" i="11"/>
  <c r="K55" i="11"/>
  <c r="N54" i="11"/>
  <c r="K54" i="11"/>
  <c r="L53" i="11"/>
  <c r="N51" i="11"/>
  <c r="K51" i="11"/>
  <c r="N50" i="11"/>
  <c r="K50" i="11"/>
  <c r="L49" i="11"/>
  <c r="N47" i="11"/>
  <c r="K47" i="11"/>
  <c r="N46" i="11"/>
  <c r="K46" i="11"/>
  <c r="L45" i="11"/>
  <c r="N43" i="11"/>
  <c r="K43" i="11"/>
  <c r="N42" i="11"/>
  <c r="K42" i="11"/>
  <c r="L41" i="11"/>
  <c r="N40" i="11"/>
  <c r="K40" i="11"/>
  <c r="N39" i="11"/>
  <c r="K39" i="11"/>
  <c r="L38" i="11"/>
  <c r="N35" i="11"/>
  <c r="K35" i="11"/>
  <c r="N33" i="11"/>
  <c r="K33" i="11"/>
  <c r="N32" i="11"/>
  <c r="K32" i="11"/>
  <c r="N31" i="11"/>
  <c r="K31" i="11"/>
  <c r="N30" i="11"/>
  <c r="K30" i="11"/>
  <c r="N29" i="11"/>
  <c r="K29" i="11"/>
  <c r="N28" i="11"/>
  <c r="K28" i="11"/>
  <c r="N27" i="11"/>
  <c r="K27" i="11"/>
  <c r="N26" i="11"/>
  <c r="K26" i="11"/>
  <c r="N25" i="11"/>
  <c r="K25" i="11"/>
  <c r="L24" i="11"/>
  <c r="N22" i="11"/>
  <c r="O22" i="11" s="1"/>
  <c r="K22" i="11"/>
  <c r="N21" i="11"/>
  <c r="K21" i="11"/>
  <c r="N20" i="11"/>
  <c r="K20" i="11"/>
  <c r="N19" i="11"/>
  <c r="K19" i="11"/>
  <c r="N18" i="11"/>
  <c r="O18" i="11" s="1"/>
  <c r="K18" i="11"/>
  <c r="N17" i="11"/>
  <c r="K17" i="11"/>
  <c r="N16" i="11"/>
  <c r="K16" i="11"/>
  <c r="N15" i="11"/>
  <c r="K15" i="11"/>
  <c r="N14" i="11"/>
  <c r="K14" i="11"/>
  <c r="L13" i="11"/>
  <c r="N97" i="10"/>
  <c r="K97" i="10"/>
  <c r="N96" i="10"/>
  <c r="K96" i="10"/>
  <c r="L95" i="10"/>
  <c r="N94" i="10"/>
  <c r="K94" i="10"/>
  <c r="N93" i="10"/>
  <c r="K93" i="10"/>
  <c r="L92" i="10"/>
  <c r="N91" i="10"/>
  <c r="K91" i="10"/>
  <c r="N90" i="10"/>
  <c r="K90" i="10"/>
  <c r="L89" i="10"/>
  <c r="N88" i="10"/>
  <c r="K88" i="10"/>
  <c r="N87" i="10"/>
  <c r="K87" i="10"/>
  <c r="K86" i="10" s="1"/>
  <c r="L86" i="10"/>
  <c r="L83" i="10"/>
  <c r="N83" i="10" s="1"/>
  <c r="K83" i="10"/>
  <c r="L82" i="10"/>
  <c r="N82" i="10" s="1"/>
  <c r="K82" i="10"/>
  <c r="K81" i="10"/>
  <c r="L80" i="10"/>
  <c r="N80" i="10" s="1"/>
  <c r="K80" i="10"/>
  <c r="L79" i="10"/>
  <c r="K79" i="10"/>
  <c r="L75" i="10"/>
  <c r="N75" i="10" s="1"/>
  <c r="K75" i="10"/>
  <c r="L74" i="10"/>
  <c r="N74" i="10" s="1"/>
  <c r="K74" i="10"/>
  <c r="L72" i="10"/>
  <c r="N72" i="10" s="1"/>
  <c r="K72" i="10"/>
  <c r="L71" i="10"/>
  <c r="N71" i="10" s="1"/>
  <c r="K71" i="10"/>
  <c r="I99" i="10"/>
  <c r="N67" i="10"/>
  <c r="K67" i="10"/>
  <c r="N66" i="10"/>
  <c r="K66" i="10"/>
  <c r="K65" i="10" s="1"/>
  <c r="L65" i="10"/>
  <c r="N63" i="10"/>
  <c r="K63" i="10"/>
  <c r="N62" i="10"/>
  <c r="K62" i="10"/>
  <c r="L61" i="10"/>
  <c r="N60" i="10"/>
  <c r="K60" i="10"/>
  <c r="N59" i="10"/>
  <c r="K59" i="10"/>
  <c r="L58" i="10"/>
  <c r="N55" i="10"/>
  <c r="K55" i="10"/>
  <c r="N54" i="10"/>
  <c r="K54" i="10"/>
  <c r="L53" i="10"/>
  <c r="N51" i="10"/>
  <c r="K51" i="10"/>
  <c r="N50" i="10"/>
  <c r="K50" i="10"/>
  <c r="L49" i="10"/>
  <c r="N47" i="10"/>
  <c r="K47" i="10"/>
  <c r="N46" i="10"/>
  <c r="K46" i="10"/>
  <c r="L45" i="10"/>
  <c r="N43" i="10"/>
  <c r="K43" i="10"/>
  <c r="N42" i="10"/>
  <c r="K42" i="10"/>
  <c r="L41" i="10"/>
  <c r="N40" i="10"/>
  <c r="K40" i="10"/>
  <c r="N39" i="10"/>
  <c r="K39" i="10"/>
  <c r="L38" i="10"/>
  <c r="N35" i="10"/>
  <c r="K35" i="10"/>
  <c r="N33" i="10"/>
  <c r="K33" i="10"/>
  <c r="N32" i="10"/>
  <c r="K32" i="10"/>
  <c r="N31" i="10"/>
  <c r="K31" i="10"/>
  <c r="N30" i="10"/>
  <c r="K30" i="10"/>
  <c r="N29" i="10"/>
  <c r="K29" i="10"/>
  <c r="N28" i="10"/>
  <c r="K28" i="10"/>
  <c r="N27" i="10"/>
  <c r="K27" i="10"/>
  <c r="N26" i="10"/>
  <c r="K26" i="10"/>
  <c r="N25" i="10"/>
  <c r="K25" i="10"/>
  <c r="L24" i="10"/>
  <c r="N22" i="10"/>
  <c r="K22" i="10"/>
  <c r="N21" i="10"/>
  <c r="K21" i="10"/>
  <c r="N20" i="10"/>
  <c r="K20" i="10"/>
  <c r="N19" i="10"/>
  <c r="K19" i="10"/>
  <c r="N18" i="10"/>
  <c r="K18" i="10"/>
  <c r="N17" i="10"/>
  <c r="K17" i="10"/>
  <c r="N16" i="10"/>
  <c r="K16" i="10"/>
  <c r="N15" i="10"/>
  <c r="K15" i="10"/>
  <c r="N14" i="10"/>
  <c r="K14" i="10"/>
  <c r="L13" i="10"/>
  <c r="N97" i="9"/>
  <c r="K97" i="9"/>
  <c r="N96" i="9"/>
  <c r="K96" i="9"/>
  <c r="L95" i="9"/>
  <c r="N94" i="9"/>
  <c r="K94" i="9"/>
  <c r="N93" i="9"/>
  <c r="K93" i="9"/>
  <c r="K92" i="9" s="1"/>
  <c r="L92" i="9"/>
  <c r="N91" i="9"/>
  <c r="K91" i="9"/>
  <c r="N90" i="9"/>
  <c r="K90" i="9"/>
  <c r="L89" i="9"/>
  <c r="N88" i="9"/>
  <c r="K88" i="9"/>
  <c r="N87" i="9"/>
  <c r="K87" i="9"/>
  <c r="K86" i="9" s="1"/>
  <c r="L86" i="9"/>
  <c r="L83" i="9"/>
  <c r="N83" i="9" s="1"/>
  <c r="K83" i="9"/>
  <c r="L82" i="9"/>
  <c r="K82" i="9"/>
  <c r="L80" i="9"/>
  <c r="N80" i="9" s="1"/>
  <c r="K80" i="9"/>
  <c r="L79" i="9"/>
  <c r="N79" i="9" s="1"/>
  <c r="K79" i="9"/>
  <c r="L75" i="9"/>
  <c r="N75" i="9" s="1"/>
  <c r="K75" i="9"/>
  <c r="L74" i="9"/>
  <c r="N74" i="9" s="1"/>
  <c r="K74" i="9"/>
  <c r="I99" i="9"/>
  <c r="L72" i="9"/>
  <c r="N72" i="9" s="1"/>
  <c r="K72" i="9"/>
  <c r="L71" i="9"/>
  <c r="K71" i="9"/>
  <c r="N67" i="9"/>
  <c r="K67" i="9"/>
  <c r="N66" i="9"/>
  <c r="K66" i="9"/>
  <c r="K65" i="9" s="1"/>
  <c r="L65" i="9"/>
  <c r="N63" i="9"/>
  <c r="K63" i="9"/>
  <c r="N62" i="9"/>
  <c r="K62" i="9"/>
  <c r="L61" i="9"/>
  <c r="N60" i="9"/>
  <c r="K60" i="9"/>
  <c r="N59" i="9"/>
  <c r="K59" i="9"/>
  <c r="L58" i="9"/>
  <c r="N55" i="9"/>
  <c r="N53" i="9" s="1"/>
  <c r="K55" i="9"/>
  <c r="N54" i="9"/>
  <c r="K54" i="9"/>
  <c r="L53" i="9"/>
  <c r="N51" i="9"/>
  <c r="K51" i="9"/>
  <c r="N50" i="9"/>
  <c r="K50" i="9"/>
  <c r="L49" i="9"/>
  <c r="N47" i="9"/>
  <c r="K47" i="9"/>
  <c r="N46" i="9"/>
  <c r="K46" i="9"/>
  <c r="L45" i="9"/>
  <c r="N43" i="9"/>
  <c r="K43" i="9"/>
  <c r="N42" i="9"/>
  <c r="K42" i="9"/>
  <c r="L41" i="9"/>
  <c r="N40" i="9"/>
  <c r="K40" i="9"/>
  <c r="N39" i="9"/>
  <c r="K39" i="9"/>
  <c r="L38" i="9"/>
  <c r="N35" i="9"/>
  <c r="K35" i="9"/>
  <c r="N33" i="9"/>
  <c r="K33" i="9"/>
  <c r="N32" i="9"/>
  <c r="K32" i="9"/>
  <c r="N31" i="9"/>
  <c r="K31" i="9"/>
  <c r="N30" i="9"/>
  <c r="K30" i="9"/>
  <c r="N29" i="9"/>
  <c r="K29" i="9"/>
  <c r="N28" i="9"/>
  <c r="K28" i="9"/>
  <c r="N27" i="9"/>
  <c r="K27" i="9"/>
  <c r="N26" i="9"/>
  <c r="K26" i="9"/>
  <c r="N25" i="9"/>
  <c r="K25" i="9"/>
  <c r="L24" i="9"/>
  <c r="N22" i="9"/>
  <c r="K22" i="9"/>
  <c r="N21" i="9"/>
  <c r="K21" i="9"/>
  <c r="N20" i="9"/>
  <c r="K20" i="9"/>
  <c r="N19" i="9"/>
  <c r="K19" i="9"/>
  <c r="N18" i="9"/>
  <c r="K18" i="9"/>
  <c r="N17" i="9"/>
  <c r="K17" i="9"/>
  <c r="N16" i="9"/>
  <c r="K16" i="9"/>
  <c r="N15" i="9"/>
  <c r="K15" i="9"/>
  <c r="N14" i="9"/>
  <c r="K14" i="9"/>
  <c r="L13" i="9"/>
  <c r="N97" i="8"/>
  <c r="K97" i="8"/>
  <c r="N96" i="8"/>
  <c r="K96" i="8"/>
  <c r="L95" i="8"/>
  <c r="N94" i="8"/>
  <c r="K94" i="8"/>
  <c r="N93" i="8"/>
  <c r="K93" i="8"/>
  <c r="L92" i="8"/>
  <c r="N91" i="8"/>
  <c r="K91" i="8"/>
  <c r="N90" i="8"/>
  <c r="K90" i="8"/>
  <c r="L89" i="8"/>
  <c r="N88" i="8"/>
  <c r="K88" i="8"/>
  <c r="N87" i="8"/>
  <c r="K87" i="8"/>
  <c r="L86" i="8"/>
  <c r="L83" i="8"/>
  <c r="N83" i="8" s="1"/>
  <c r="K83" i="8"/>
  <c r="L82" i="8"/>
  <c r="N82" i="8" s="1"/>
  <c r="K82" i="8"/>
  <c r="L80" i="8"/>
  <c r="N80" i="8" s="1"/>
  <c r="K80" i="8"/>
  <c r="L79" i="8"/>
  <c r="N79" i="8" s="1"/>
  <c r="K79" i="8"/>
  <c r="L75" i="8"/>
  <c r="N75" i="8" s="1"/>
  <c r="K75" i="8"/>
  <c r="L74" i="8"/>
  <c r="K74" i="8"/>
  <c r="L72" i="8"/>
  <c r="N72" i="8" s="1"/>
  <c r="K72" i="8"/>
  <c r="K70" i="8" s="1"/>
  <c r="L71" i="8"/>
  <c r="N71" i="8" s="1"/>
  <c r="K71" i="8"/>
  <c r="I99" i="8"/>
  <c r="N67" i="8"/>
  <c r="K67" i="8"/>
  <c r="N66" i="8"/>
  <c r="K66" i="8"/>
  <c r="L65" i="8"/>
  <c r="N63" i="8"/>
  <c r="K63" i="8"/>
  <c r="N62" i="8"/>
  <c r="K62" i="8"/>
  <c r="L61" i="8"/>
  <c r="N60" i="8"/>
  <c r="K60" i="8"/>
  <c r="N59" i="8"/>
  <c r="K59" i="8"/>
  <c r="L58" i="8"/>
  <c r="N55" i="8"/>
  <c r="K55" i="8"/>
  <c r="N54" i="8"/>
  <c r="K54" i="8"/>
  <c r="L53" i="8"/>
  <c r="N51" i="8"/>
  <c r="K51" i="8"/>
  <c r="N50" i="8"/>
  <c r="K50" i="8"/>
  <c r="L49" i="8"/>
  <c r="N47" i="8"/>
  <c r="K47" i="8"/>
  <c r="N46" i="8"/>
  <c r="K46" i="8"/>
  <c r="L45" i="8"/>
  <c r="N43" i="8"/>
  <c r="K43" i="8"/>
  <c r="N42" i="8"/>
  <c r="K42" i="8"/>
  <c r="L41" i="8"/>
  <c r="N40" i="8"/>
  <c r="K40" i="8"/>
  <c r="N39" i="8"/>
  <c r="K39" i="8"/>
  <c r="L38" i="8"/>
  <c r="N35" i="8"/>
  <c r="K35" i="8"/>
  <c r="N33" i="8"/>
  <c r="K33" i="8"/>
  <c r="N32" i="8"/>
  <c r="K32" i="8"/>
  <c r="N31" i="8"/>
  <c r="K31" i="8"/>
  <c r="N30" i="8"/>
  <c r="K30" i="8"/>
  <c r="N29" i="8"/>
  <c r="K29" i="8"/>
  <c r="N28" i="8"/>
  <c r="K28" i="8"/>
  <c r="N27" i="8"/>
  <c r="K27" i="8"/>
  <c r="N26" i="8"/>
  <c r="K26" i="8"/>
  <c r="N25" i="8"/>
  <c r="K25" i="8"/>
  <c r="L24" i="8"/>
  <c r="N22" i="8"/>
  <c r="K22" i="8"/>
  <c r="N21" i="8"/>
  <c r="K21" i="8"/>
  <c r="N20" i="8"/>
  <c r="K20" i="8"/>
  <c r="N19" i="8"/>
  <c r="K19" i="8"/>
  <c r="N18" i="8"/>
  <c r="K18" i="8"/>
  <c r="N17" i="8"/>
  <c r="K17" i="8"/>
  <c r="N16" i="8"/>
  <c r="K16" i="8"/>
  <c r="N15" i="8"/>
  <c r="K15" i="8"/>
  <c r="N14" i="8"/>
  <c r="K14" i="8"/>
  <c r="L13" i="8"/>
  <c r="N97" i="7"/>
  <c r="K97" i="7"/>
  <c r="N96" i="7"/>
  <c r="K96" i="7"/>
  <c r="L95" i="7"/>
  <c r="N94" i="7"/>
  <c r="K94" i="7"/>
  <c r="N93" i="7"/>
  <c r="K93" i="7"/>
  <c r="K92" i="7" s="1"/>
  <c r="L92" i="7"/>
  <c r="N91" i="7"/>
  <c r="K91" i="7"/>
  <c r="N90" i="7"/>
  <c r="K90" i="7"/>
  <c r="L89" i="7"/>
  <c r="N88" i="7"/>
  <c r="K88" i="7"/>
  <c r="N87" i="7"/>
  <c r="K87" i="7"/>
  <c r="K86" i="7" s="1"/>
  <c r="L86" i="7"/>
  <c r="L83" i="7"/>
  <c r="N83" i="7" s="1"/>
  <c r="K83" i="7"/>
  <c r="L82" i="7"/>
  <c r="N82" i="7" s="1"/>
  <c r="K82" i="7"/>
  <c r="L80" i="7"/>
  <c r="K80" i="7"/>
  <c r="L79" i="7"/>
  <c r="N79" i="7" s="1"/>
  <c r="K79" i="7"/>
  <c r="L75" i="7"/>
  <c r="K75" i="7"/>
  <c r="L74" i="7"/>
  <c r="N74" i="7" s="1"/>
  <c r="K74" i="7"/>
  <c r="L72" i="7"/>
  <c r="N72" i="7" s="1"/>
  <c r="K72" i="7"/>
  <c r="L71" i="7"/>
  <c r="N71" i="7" s="1"/>
  <c r="K71" i="7"/>
  <c r="K70" i="7" s="1"/>
  <c r="I99" i="7"/>
  <c r="N67" i="7"/>
  <c r="K67" i="7"/>
  <c r="N66" i="7"/>
  <c r="K66" i="7"/>
  <c r="L65" i="7"/>
  <c r="N63" i="7"/>
  <c r="K63" i="7"/>
  <c r="K61" i="7" s="1"/>
  <c r="N62" i="7"/>
  <c r="K62" i="7"/>
  <c r="L61" i="7"/>
  <c r="N60" i="7"/>
  <c r="K60" i="7"/>
  <c r="K58" i="7" s="1"/>
  <c r="N59" i="7"/>
  <c r="K59" i="7"/>
  <c r="L58" i="7"/>
  <c r="N55" i="7"/>
  <c r="K55" i="7"/>
  <c r="N54" i="7"/>
  <c r="K54" i="7"/>
  <c r="L53" i="7"/>
  <c r="N51" i="7"/>
  <c r="K51" i="7"/>
  <c r="N50" i="7"/>
  <c r="K50" i="7"/>
  <c r="L49" i="7"/>
  <c r="N47" i="7"/>
  <c r="K47" i="7"/>
  <c r="N46" i="7"/>
  <c r="K46" i="7"/>
  <c r="L45" i="7"/>
  <c r="N43" i="7"/>
  <c r="K43" i="7"/>
  <c r="N42" i="7"/>
  <c r="K42" i="7"/>
  <c r="L41" i="7"/>
  <c r="N40" i="7"/>
  <c r="K40" i="7"/>
  <c r="N39" i="7"/>
  <c r="K39" i="7"/>
  <c r="L38" i="7"/>
  <c r="N35" i="7"/>
  <c r="K35" i="7"/>
  <c r="N33" i="7"/>
  <c r="K33" i="7"/>
  <c r="N32" i="7"/>
  <c r="K32" i="7"/>
  <c r="N31" i="7"/>
  <c r="K31" i="7"/>
  <c r="N30" i="7"/>
  <c r="K30" i="7"/>
  <c r="N29" i="7"/>
  <c r="K29" i="7"/>
  <c r="N28" i="7"/>
  <c r="K28" i="7"/>
  <c r="N27" i="7"/>
  <c r="K27" i="7"/>
  <c r="N26" i="7"/>
  <c r="K26" i="7"/>
  <c r="N25" i="7"/>
  <c r="K25" i="7"/>
  <c r="N22" i="7"/>
  <c r="K22" i="7"/>
  <c r="N21" i="7"/>
  <c r="K21" i="7"/>
  <c r="N20" i="7"/>
  <c r="K20" i="7"/>
  <c r="N19" i="7"/>
  <c r="K19" i="7"/>
  <c r="N18" i="7"/>
  <c r="K18" i="7"/>
  <c r="N17" i="7"/>
  <c r="K17" i="7"/>
  <c r="N16" i="7"/>
  <c r="K16" i="7"/>
  <c r="N15" i="7"/>
  <c r="K15" i="7"/>
  <c r="N14" i="7"/>
  <c r="K14" i="7"/>
  <c r="L13" i="7"/>
  <c r="N97" i="6"/>
  <c r="K97" i="6"/>
  <c r="N96" i="6"/>
  <c r="K96" i="6"/>
  <c r="L95" i="6"/>
  <c r="N94" i="6"/>
  <c r="O94" i="6" s="1"/>
  <c r="K94" i="6"/>
  <c r="N93" i="6"/>
  <c r="K93" i="6"/>
  <c r="K92" i="6" s="1"/>
  <c r="L92" i="6"/>
  <c r="N91" i="6"/>
  <c r="K91" i="6"/>
  <c r="N90" i="6"/>
  <c r="K90" i="6"/>
  <c r="L89" i="6"/>
  <c r="N88" i="6"/>
  <c r="K88" i="6"/>
  <c r="N87" i="6"/>
  <c r="K87" i="6"/>
  <c r="L86" i="6"/>
  <c r="L83" i="6"/>
  <c r="N83" i="6" s="1"/>
  <c r="K83" i="6"/>
  <c r="L82" i="6"/>
  <c r="N82" i="6" s="1"/>
  <c r="K82" i="6"/>
  <c r="L80" i="6"/>
  <c r="N80" i="6" s="1"/>
  <c r="K80" i="6"/>
  <c r="L79" i="6"/>
  <c r="N79" i="6" s="1"/>
  <c r="K79" i="6"/>
  <c r="L75" i="6"/>
  <c r="N75" i="6" s="1"/>
  <c r="K75" i="6"/>
  <c r="L74" i="6"/>
  <c r="N74" i="6" s="1"/>
  <c r="K74" i="6"/>
  <c r="K73" i="6" s="1"/>
  <c r="I99" i="6"/>
  <c r="L72" i="6"/>
  <c r="N72" i="6" s="1"/>
  <c r="K72" i="6"/>
  <c r="L71" i="6"/>
  <c r="N71" i="6" s="1"/>
  <c r="K71" i="6"/>
  <c r="N67" i="6"/>
  <c r="K67" i="6"/>
  <c r="N66" i="6"/>
  <c r="K66" i="6"/>
  <c r="K65" i="6" s="1"/>
  <c r="L65" i="6"/>
  <c r="N63" i="6"/>
  <c r="K63" i="6"/>
  <c r="N62" i="6"/>
  <c r="K62" i="6"/>
  <c r="L61" i="6"/>
  <c r="N60" i="6"/>
  <c r="K60" i="6"/>
  <c r="N59" i="6"/>
  <c r="K59" i="6"/>
  <c r="L58" i="6"/>
  <c r="N55" i="6"/>
  <c r="K55" i="6"/>
  <c r="N54" i="6"/>
  <c r="K54" i="6"/>
  <c r="L53" i="6"/>
  <c r="N51" i="6"/>
  <c r="K51" i="6"/>
  <c r="N50" i="6"/>
  <c r="K50" i="6"/>
  <c r="L49" i="6"/>
  <c r="N47" i="6"/>
  <c r="K47" i="6"/>
  <c r="N46" i="6"/>
  <c r="K46" i="6"/>
  <c r="L45" i="6"/>
  <c r="N43" i="6"/>
  <c r="K43" i="6"/>
  <c r="N42" i="6"/>
  <c r="K42" i="6"/>
  <c r="L41" i="6"/>
  <c r="N40" i="6"/>
  <c r="K40" i="6"/>
  <c r="K38" i="6" s="1"/>
  <c r="N39" i="6"/>
  <c r="K39" i="6"/>
  <c r="L38" i="6"/>
  <c r="N35" i="6"/>
  <c r="K35" i="6"/>
  <c r="N33" i="6"/>
  <c r="K33" i="6"/>
  <c r="N32" i="6"/>
  <c r="K32" i="6"/>
  <c r="N31" i="6"/>
  <c r="K31" i="6"/>
  <c r="N30" i="6"/>
  <c r="K30" i="6"/>
  <c r="N29" i="6"/>
  <c r="K29" i="6"/>
  <c r="N28" i="6"/>
  <c r="K28" i="6"/>
  <c r="N27" i="6"/>
  <c r="K27" i="6"/>
  <c r="N26" i="6"/>
  <c r="K26" i="6"/>
  <c r="N25" i="6"/>
  <c r="K25" i="6"/>
  <c r="L24" i="6"/>
  <c r="N22" i="6"/>
  <c r="K22" i="6"/>
  <c r="N21" i="6"/>
  <c r="K21" i="6"/>
  <c r="N20" i="6"/>
  <c r="K20" i="6"/>
  <c r="N19" i="6"/>
  <c r="K19" i="6"/>
  <c r="N18" i="6"/>
  <c r="K18" i="6"/>
  <c r="N17" i="6"/>
  <c r="K17" i="6"/>
  <c r="N16" i="6"/>
  <c r="K16" i="6"/>
  <c r="N15" i="6"/>
  <c r="K15" i="6"/>
  <c r="N14" i="6"/>
  <c r="K14" i="6"/>
  <c r="L13" i="6"/>
  <c r="N97" i="5"/>
  <c r="K97" i="5"/>
  <c r="N96" i="5"/>
  <c r="K96" i="5"/>
  <c r="L95" i="5"/>
  <c r="N94" i="5"/>
  <c r="K94" i="5"/>
  <c r="N93" i="5"/>
  <c r="K93" i="5"/>
  <c r="L92" i="5"/>
  <c r="N91" i="5"/>
  <c r="K91" i="5"/>
  <c r="N90" i="5"/>
  <c r="K90" i="5"/>
  <c r="L89" i="5"/>
  <c r="N88" i="5"/>
  <c r="K88" i="5"/>
  <c r="N87" i="5"/>
  <c r="K87" i="5"/>
  <c r="L86" i="5"/>
  <c r="L83" i="5"/>
  <c r="N83" i="5" s="1"/>
  <c r="K83" i="5"/>
  <c r="L82" i="5"/>
  <c r="N82" i="5" s="1"/>
  <c r="K82" i="5"/>
  <c r="K81" i="5" s="1"/>
  <c r="L80" i="5"/>
  <c r="N80" i="5" s="1"/>
  <c r="K80" i="5"/>
  <c r="L79" i="5"/>
  <c r="N79" i="5" s="1"/>
  <c r="K79" i="5"/>
  <c r="K78" i="5" s="1"/>
  <c r="L75" i="5"/>
  <c r="N75" i="5" s="1"/>
  <c r="K75" i="5"/>
  <c r="L74" i="5"/>
  <c r="N74" i="5" s="1"/>
  <c r="K74" i="5"/>
  <c r="L72" i="5"/>
  <c r="N72" i="5" s="1"/>
  <c r="K72" i="5"/>
  <c r="L71" i="5"/>
  <c r="N71" i="5" s="1"/>
  <c r="K71" i="5"/>
  <c r="K70" i="5" s="1"/>
  <c r="I99" i="5"/>
  <c r="N67" i="5"/>
  <c r="K67" i="5"/>
  <c r="N66" i="5"/>
  <c r="K66" i="5"/>
  <c r="L65" i="5"/>
  <c r="N63" i="5"/>
  <c r="K63" i="5"/>
  <c r="N62" i="5"/>
  <c r="K62" i="5"/>
  <c r="L61" i="5"/>
  <c r="N60" i="5"/>
  <c r="K60" i="5"/>
  <c r="N59" i="5"/>
  <c r="K59" i="5"/>
  <c r="K58" i="5" s="1"/>
  <c r="L58" i="5"/>
  <c r="N55" i="5"/>
  <c r="K55" i="5"/>
  <c r="N54" i="5"/>
  <c r="K54" i="5"/>
  <c r="L53" i="5"/>
  <c r="N51" i="5"/>
  <c r="K51" i="5"/>
  <c r="N50" i="5"/>
  <c r="K50" i="5"/>
  <c r="K49" i="5" s="1"/>
  <c r="L49" i="5"/>
  <c r="N47" i="5"/>
  <c r="K47" i="5"/>
  <c r="N46" i="5"/>
  <c r="K46" i="5"/>
  <c r="L45" i="5"/>
  <c r="N43" i="5"/>
  <c r="K43" i="5"/>
  <c r="N42" i="5"/>
  <c r="K42" i="5"/>
  <c r="L41" i="5"/>
  <c r="N40" i="5"/>
  <c r="K40" i="5"/>
  <c r="N39" i="5"/>
  <c r="K39" i="5"/>
  <c r="L38" i="5"/>
  <c r="N35" i="5"/>
  <c r="K35" i="5"/>
  <c r="N33" i="5"/>
  <c r="K33" i="5"/>
  <c r="N32" i="5"/>
  <c r="K32" i="5"/>
  <c r="N31" i="5"/>
  <c r="K31" i="5"/>
  <c r="N30" i="5"/>
  <c r="K30" i="5"/>
  <c r="N29" i="5"/>
  <c r="K29" i="5"/>
  <c r="N28" i="5"/>
  <c r="K28" i="5"/>
  <c r="N27" i="5"/>
  <c r="K27" i="5"/>
  <c r="N26" i="5"/>
  <c r="K26" i="5"/>
  <c r="N25" i="5"/>
  <c r="K25" i="5"/>
  <c r="L24" i="5"/>
  <c r="N22" i="5"/>
  <c r="K22" i="5"/>
  <c r="N21" i="5"/>
  <c r="K21" i="5"/>
  <c r="N20" i="5"/>
  <c r="K20" i="5"/>
  <c r="N19" i="5"/>
  <c r="O19" i="5" s="1"/>
  <c r="K19" i="5"/>
  <c r="N18" i="5"/>
  <c r="K18" i="5"/>
  <c r="N17" i="5"/>
  <c r="K17" i="5"/>
  <c r="N16" i="5"/>
  <c r="K16" i="5"/>
  <c r="N15" i="5"/>
  <c r="K15" i="5"/>
  <c r="N14" i="5"/>
  <c r="K14" i="5"/>
  <c r="L13" i="5"/>
  <c r="N97" i="3"/>
  <c r="K97" i="3"/>
  <c r="N96" i="3"/>
  <c r="O96" i="3" s="1"/>
  <c r="K96" i="3"/>
  <c r="L95" i="3"/>
  <c r="N94" i="3"/>
  <c r="K94" i="3"/>
  <c r="N93" i="3"/>
  <c r="K93" i="3"/>
  <c r="L92" i="3"/>
  <c r="N91" i="3"/>
  <c r="O91" i="3" s="1"/>
  <c r="K91" i="3"/>
  <c r="K89" i="3" s="1"/>
  <c r="N90" i="3"/>
  <c r="K90" i="3"/>
  <c r="L89" i="3"/>
  <c r="N88" i="3"/>
  <c r="K88" i="3"/>
  <c r="N87" i="3"/>
  <c r="K87" i="3"/>
  <c r="K86" i="3" s="1"/>
  <c r="L86" i="3"/>
  <c r="L83" i="3"/>
  <c r="N83" i="3" s="1"/>
  <c r="K83" i="3"/>
  <c r="L82" i="3"/>
  <c r="N82" i="3" s="1"/>
  <c r="K82" i="3"/>
  <c r="K81" i="3" s="1"/>
  <c r="L80" i="3"/>
  <c r="N80" i="3" s="1"/>
  <c r="K80" i="3"/>
  <c r="L79" i="3"/>
  <c r="N79" i="3" s="1"/>
  <c r="K79" i="3"/>
  <c r="L75" i="3"/>
  <c r="N75" i="3" s="1"/>
  <c r="K75" i="3"/>
  <c r="L74" i="3"/>
  <c r="K74" i="3"/>
  <c r="K73" i="3" s="1"/>
  <c r="L72" i="3"/>
  <c r="N72" i="3" s="1"/>
  <c r="K72" i="3"/>
  <c r="L71" i="3"/>
  <c r="N71" i="3" s="1"/>
  <c r="K71" i="3"/>
  <c r="I99" i="3"/>
  <c r="N67" i="3"/>
  <c r="K67" i="3"/>
  <c r="N66" i="3"/>
  <c r="K66" i="3"/>
  <c r="L65" i="3"/>
  <c r="N63" i="3"/>
  <c r="K63" i="3"/>
  <c r="N62" i="3"/>
  <c r="K62" i="3"/>
  <c r="L61" i="3"/>
  <c r="N60" i="3"/>
  <c r="K60" i="3"/>
  <c r="K58" i="3" s="1"/>
  <c r="N59" i="3"/>
  <c r="K59" i="3"/>
  <c r="L58" i="3"/>
  <c r="N55" i="3"/>
  <c r="K55" i="3"/>
  <c r="N54" i="3"/>
  <c r="K54" i="3"/>
  <c r="L53" i="3"/>
  <c r="N51" i="3"/>
  <c r="K51" i="3"/>
  <c r="N50" i="3"/>
  <c r="K50" i="3"/>
  <c r="L49" i="3"/>
  <c r="N47" i="3"/>
  <c r="K47" i="3"/>
  <c r="N46" i="3"/>
  <c r="K46" i="3"/>
  <c r="L45" i="3"/>
  <c r="N43" i="3"/>
  <c r="K43" i="3"/>
  <c r="N42" i="3"/>
  <c r="K42" i="3"/>
  <c r="L41" i="3"/>
  <c r="N40" i="3"/>
  <c r="K40" i="3"/>
  <c r="N39" i="3"/>
  <c r="K39" i="3"/>
  <c r="L38" i="3"/>
  <c r="N35" i="3"/>
  <c r="K35" i="3"/>
  <c r="N33" i="3"/>
  <c r="K33" i="3"/>
  <c r="N32" i="3"/>
  <c r="K32" i="3"/>
  <c r="N31" i="3"/>
  <c r="K31" i="3"/>
  <c r="N30" i="3"/>
  <c r="K30" i="3"/>
  <c r="N29" i="3"/>
  <c r="K29" i="3"/>
  <c r="N28" i="3"/>
  <c r="K28" i="3"/>
  <c r="N27" i="3"/>
  <c r="K27" i="3"/>
  <c r="N26" i="3"/>
  <c r="K26" i="3"/>
  <c r="N25" i="3"/>
  <c r="K25" i="3"/>
  <c r="L24" i="3"/>
  <c r="N22" i="3"/>
  <c r="K22" i="3"/>
  <c r="N21" i="3"/>
  <c r="K21" i="3"/>
  <c r="N20" i="3"/>
  <c r="K20" i="3"/>
  <c r="N19" i="3"/>
  <c r="K19" i="3"/>
  <c r="N18" i="3"/>
  <c r="K18" i="3"/>
  <c r="N17" i="3"/>
  <c r="K17" i="3"/>
  <c r="N16" i="3"/>
  <c r="K16" i="3"/>
  <c r="N15" i="3"/>
  <c r="K15" i="3"/>
  <c r="N14" i="3"/>
  <c r="K14" i="3"/>
  <c r="L13" i="3"/>
  <c r="N97" i="2"/>
  <c r="K97" i="2"/>
  <c r="N96" i="2"/>
  <c r="O96" i="2" s="1"/>
  <c r="K96" i="2"/>
  <c r="L95" i="2"/>
  <c r="N94" i="2"/>
  <c r="K94" i="2"/>
  <c r="N93" i="2"/>
  <c r="K93" i="2"/>
  <c r="L92" i="2"/>
  <c r="N91" i="2"/>
  <c r="K91" i="2"/>
  <c r="N90" i="2"/>
  <c r="K90" i="2"/>
  <c r="L89" i="2"/>
  <c r="N88" i="2"/>
  <c r="K88" i="2"/>
  <c r="N87" i="2"/>
  <c r="K87" i="2"/>
  <c r="L86" i="2"/>
  <c r="L83" i="2"/>
  <c r="N83" i="2" s="1"/>
  <c r="K83" i="2"/>
  <c r="L82" i="2"/>
  <c r="K82" i="2"/>
  <c r="K81" i="2" s="1"/>
  <c r="L80" i="2"/>
  <c r="N80" i="2" s="1"/>
  <c r="K80" i="2"/>
  <c r="L79" i="2"/>
  <c r="K79" i="2"/>
  <c r="L75" i="2"/>
  <c r="N75" i="2" s="1"/>
  <c r="K75" i="2"/>
  <c r="L74" i="2"/>
  <c r="N74" i="2" s="1"/>
  <c r="K74" i="2"/>
  <c r="K73" i="2" s="1"/>
  <c r="L72" i="2"/>
  <c r="K72" i="2"/>
  <c r="L71" i="2"/>
  <c r="N71" i="2" s="1"/>
  <c r="K71" i="2"/>
  <c r="K70" i="2" s="1"/>
  <c r="I99" i="2"/>
  <c r="N67" i="2"/>
  <c r="K67" i="2"/>
  <c r="N66" i="2"/>
  <c r="K66" i="2"/>
  <c r="L65" i="2"/>
  <c r="N63" i="2"/>
  <c r="K63" i="2"/>
  <c r="N62" i="2"/>
  <c r="O62" i="2" s="1"/>
  <c r="K62" i="2"/>
  <c r="L61" i="2"/>
  <c r="N60" i="2"/>
  <c r="K60" i="2"/>
  <c r="N59" i="2"/>
  <c r="K59" i="2"/>
  <c r="L58" i="2"/>
  <c r="N55" i="2"/>
  <c r="K55" i="2"/>
  <c r="N54" i="2"/>
  <c r="K54" i="2"/>
  <c r="L53" i="2"/>
  <c r="N51" i="2"/>
  <c r="K51" i="2"/>
  <c r="N50" i="2"/>
  <c r="K50" i="2"/>
  <c r="L49" i="2"/>
  <c r="N47" i="2"/>
  <c r="K47" i="2"/>
  <c r="N46" i="2"/>
  <c r="K46" i="2"/>
  <c r="L45" i="2"/>
  <c r="N43" i="2"/>
  <c r="K43" i="2"/>
  <c r="N42" i="2"/>
  <c r="K42" i="2"/>
  <c r="L41" i="2"/>
  <c r="N40" i="2"/>
  <c r="K40" i="2"/>
  <c r="N39" i="2"/>
  <c r="K39" i="2"/>
  <c r="L38" i="2"/>
  <c r="N35" i="2"/>
  <c r="K35" i="2"/>
  <c r="N33" i="2"/>
  <c r="K33" i="2"/>
  <c r="N32" i="2"/>
  <c r="K32" i="2"/>
  <c r="N31" i="2"/>
  <c r="K31" i="2"/>
  <c r="N30" i="2"/>
  <c r="K30" i="2"/>
  <c r="N29" i="2"/>
  <c r="K29" i="2"/>
  <c r="N28" i="2"/>
  <c r="K28" i="2"/>
  <c r="N27" i="2"/>
  <c r="K27" i="2"/>
  <c r="N26" i="2"/>
  <c r="K26" i="2"/>
  <c r="N25" i="2"/>
  <c r="K25" i="2"/>
  <c r="L24" i="2"/>
  <c r="N22" i="2"/>
  <c r="O22" i="2" s="1"/>
  <c r="K22" i="2"/>
  <c r="N21" i="2"/>
  <c r="O21" i="2" s="1"/>
  <c r="K21" i="2"/>
  <c r="N20" i="2"/>
  <c r="K20" i="2"/>
  <c r="N19" i="2"/>
  <c r="K19" i="2"/>
  <c r="N18" i="2"/>
  <c r="O18" i="2" s="1"/>
  <c r="K18" i="2"/>
  <c r="N17" i="2"/>
  <c r="O17" i="2" s="1"/>
  <c r="K17" i="2"/>
  <c r="N16" i="2"/>
  <c r="K16" i="2"/>
  <c r="N15" i="2"/>
  <c r="K15" i="2"/>
  <c r="N14" i="2"/>
  <c r="K14" i="2"/>
  <c r="L13" i="2"/>
  <c r="N53" i="7" l="1"/>
  <c r="O18" i="13"/>
  <c r="O39" i="13"/>
  <c r="K78" i="13"/>
  <c r="N61" i="13"/>
  <c r="L37" i="13"/>
  <c r="O62" i="13"/>
  <c r="O88" i="12"/>
  <c r="O35" i="11"/>
  <c r="O42" i="11"/>
  <c r="O14" i="10"/>
  <c r="O18" i="10"/>
  <c r="K81" i="9"/>
  <c r="O80" i="8"/>
  <c r="O25" i="8"/>
  <c r="O29" i="8"/>
  <c r="K49" i="8"/>
  <c r="O17" i="7"/>
  <c r="K81" i="6"/>
  <c r="K86" i="6"/>
  <c r="K65" i="3"/>
  <c r="K81" i="11"/>
  <c r="O74" i="11"/>
  <c r="O27" i="12"/>
  <c r="K89" i="12"/>
  <c r="K49" i="14"/>
  <c r="K41" i="14"/>
  <c r="K73" i="14"/>
  <c r="O14" i="13"/>
  <c r="O22" i="13"/>
  <c r="K45" i="13"/>
  <c r="O45" i="13" s="1"/>
  <c r="K95" i="13"/>
  <c r="O27" i="13"/>
  <c r="K38" i="12"/>
  <c r="O20" i="11"/>
  <c r="O83" i="11"/>
  <c r="O90" i="11"/>
  <c r="O62" i="11"/>
  <c r="K78" i="11"/>
  <c r="K77" i="11" s="1"/>
  <c r="O21" i="11"/>
  <c r="O19" i="10"/>
  <c r="O72" i="10"/>
  <c r="K95" i="10"/>
  <c r="K92" i="10"/>
  <c r="K41" i="10"/>
  <c r="O43" i="10"/>
  <c r="K70" i="10"/>
  <c r="O83" i="10"/>
  <c r="K89" i="9"/>
  <c r="K49" i="9"/>
  <c r="O20" i="9"/>
  <c r="K41" i="9"/>
  <c r="K65" i="8"/>
  <c r="K92" i="8"/>
  <c r="K41" i="8"/>
  <c r="K78" i="7"/>
  <c r="O20" i="7"/>
  <c r="O26" i="7"/>
  <c r="K73" i="7"/>
  <c r="K81" i="7"/>
  <c r="O83" i="7"/>
  <c r="K78" i="6"/>
  <c r="K77" i="6" s="1"/>
  <c r="O14" i="6"/>
  <c r="O18" i="6"/>
  <c r="O22" i="6"/>
  <c r="O39" i="6"/>
  <c r="K41" i="6"/>
  <c r="K37" i="6" s="1"/>
  <c r="K41" i="5"/>
  <c r="K61" i="5"/>
  <c r="O26" i="5"/>
  <c r="K77" i="5"/>
  <c r="O80" i="5"/>
  <c r="K92" i="5"/>
  <c r="O25" i="3"/>
  <c r="O29" i="3"/>
  <c r="K65" i="14"/>
  <c r="O17" i="14"/>
  <c r="K86" i="14"/>
  <c r="K78" i="14"/>
  <c r="K77" i="14" s="1"/>
  <c r="O90" i="13"/>
  <c r="O43" i="13"/>
  <c r="O54" i="13"/>
  <c r="K86" i="13"/>
  <c r="O66" i="13"/>
  <c r="N13" i="13"/>
  <c r="O17" i="13"/>
  <c r="O21" i="13"/>
  <c r="O46" i="13"/>
  <c r="O51" i="13"/>
  <c r="L57" i="13"/>
  <c r="K92" i="13"/>
  <c r="O39" i="12"/>
  <c r="N61" i="12"/>
  <c r="K65" i="12"/>
  <c r="K95" i="12"/>
  <c r="O67" i="12"/>
  <c r="K81" i="12"/>
  <c r="O62" i="12"/>
  <c r="O14" i="12"/>
  <c r="O43" i="12"/>
  <c r="K49" i="11"/>
  <c r="K24" i="11"/>
  <c r="K24" i="10"/>
  <c r="O30" i="10"/>
  <c r="K73" i="10"/>
  <c r="K69" i="10" s="1"/>
  <c r="K53" i="10"/>
  <c r="O40" i="9"/>
  <c r="K70" i="9"/>
  <c r="O54" i="9"/>
  <c r="O31" i="8"/>
  <c r="K61" i="8"/>
  <c r="O27" i="8"/>
  <c r="K24" i="8"/>
  <c r="O51" i="8"/>
  <c r="K45" i="8"/>
  <c r="K41" i="7"/>
  <c r="K49" i="7"/>
  <c r="O21" i="7"/>
  <c r="K57" i="7"/>
  <c r="K65" i="7"/>
  <c r="O51" i="6"/>
  <c r="O90" i="6"/>
  <c r="K70" i="6"/>
  <c r="K69" i="6" s="1"/>
  <c r="K24" i="5"/>
  <c r="O60" i="5"/>
  <c r="O27" i="3"/>
  <c r="O31" i="3"/>
  <c r="O59" i="3"/>
  <c r="K45" i="3"/>
  <c r="O43" i="3"/>
  <c r="O50" i="3"/>
  <c r="O22" i="3"/>
  <c r="O19" i="3"/>
  <c r="K41" i="3"/>
  <c r="K92" i="3"/>
  <c r="O51" i="2"/>
  <c r="O59" i="2"/>
  <c r="K70" i="14"/>
  <c r="O30" i="14"/>
  <c r="K58" i="14"/>
  <c r="K13" i="14"/>
  <c r="K24" i="14"/>
  <c r="K45" i="14"/>
  <c r="O26" i="14"/>
  <c r="O87" i="14"/>
  <c r="O21" i="14"/>
  <c r="O97" i="14"/>
  <c r="K92" i="14"/>
  <c r="K58" i="13"/>
  <c r="O63" i="13"/>
  <c r="K38" i="13"/>
  <c r="K37" i="13" s="1"/>
  <c r="K53" i="13"/>
  <c r="O53" i="13" s="1"/>
  <c r="O87" i="13"/>
  <c r="K89" i="13"/>
  <c r="K13" i="13"/>
  <c r="K73" i="13"/>
  <c r="K69" i="13" s="1"/>
  <c r="K81" i="13"/>
  <c r="K77" i="13" s="1"/>
  <c r="K41" i="13"/>
  <c r="K92" i="12"/>
  <c r="K85" i="12" s="1"/>
  <c r="O25" i="12"/>
  <c r="O46" i="12"/>
  <c r="O59" i="12"/>
  <c r="K78" i="12"/>
  <c r="O28" i="12"/>
  <c r="O16" i="12"/>
  <c r="K45" i="12"/>
  <c r="O45" i="12" s="1"/>
  <c r="O90" i="12"/>
  <c r="O51" i="12"/>
  <c r="K41" i="12"/>
  <c r="O32" i="12"/>
  <c r="O21" i="12"/>
  <c r="O30" i="12"/>
  <c r="O35" i="12"/>
  <c r="O66" i="12"/>
  <c r="O72" i="12"/>
  <c r="O80" i="12"/>
  <c r="O19" i="12"/>
  <c r="K49" i="12"/>
  <c r="O96" i="12"/>
  <c r="O96" i="11"/>
  <c r="O54" i="11"/>
  <c r="K65" i="11"/>
  <c r="O80" i="11"/>
  <c r="K86" i="11"/>
  <c r="O43" i="11"/>
  <c r="O50" i="11"/>
  <c r="K70" i="11"/>
  <c r="K69" i="11" s="1"/>
  <c r="O29" i="10"/>
  <c r="O16" i="10"/>
  <c r="O20" i="10"/>
  <c r="K45" i="10"/>
  <c r="O60" i="10"/>
  <c r="K78" i="10"/>
  <c r="K77" i="10" s="1"/>
  <c r="O17" i="10"/>
  <c r="O21" i="10"/>
  <c r="O42" i="10"/>
  <c r="O87" i="10"/>
  <c r="O31" i="10"/>
  <c r="K49" i="10"/>
  <c r="O88" i="10"/>
  <c r="O28" i="10"/>
  <c r="K58" i="10"/>
  <c r="O17" i="9"/>
  <c r="O42" i="9"/>
  <c r="K78" i="9"/>
  <c r="K77" i="9" s="1"/>
  <c r="O72" i="9"/>
  <c r="O27" i="9"/>
  <c r="O31" i="9"/>
  <c r="O66" i="9"/>
  <c r="O80" i="9"/>
  <c r="O97" i="9"/>
  <c r="K53" i="9"/>
  <c r="K13" i="9"/>
  <c r="O29" i="9"/>
  <c r="K58" i="9"/>
  <c r="O63" i="9"/>
  <c r="O88" i="8"/>
  <c r="O42" i="8"/>
  <c r="K53" i="8"/>
  <c r="K81" i="8"/>
  <c r="O94" i="8"/>
  <c r="O60" i="8"/>
  <c r="K13" i="8"/>
  <c r="K78" i="8"/>
  <c r="K58" i="8"/>
  <c r="K57" i="8" s="1"/>
  <c r="K86" i="8"/>
  <c r="O18" i="7"/>
  <c r="O22" i="7"/>
  <c r="O87" i="7"/>
  <c r="O19" i="7"/>
  <c r="O25" i="7"/>
  <c r="O93" i="7"/>
  <c r="O60" i="7"/>
  <c r="O94" i="7"/>
  <c r="K53" i="7"/>
  <c r="O40" i="6"/>
  <c r="K45" i="6"/>
  <c r="O91" i="6"/>
  <c r="O15" i="6"/>
  <c r="O20" i="6"/>
  <c r="O46" i="6"/>
  <c r="K53" i="6"/>
  <c r="K95" i="6"/>
  <c r="O21" i="6"/>
  <c r="K49" i="6"/>
  <c r="O43" i="6"/>
  <c r="K61" i="6"/>
  <c r="O93" i="6"/>
  <c r="O72" i="6"/>
  <c r="K58" i="6"/>
  <c r="L37" i="5"/>
  <c r="O28" i="5"/>
  <c r="O22" i="5"/>
  <c r="K65" i="5"/>
  <c r="K86" i="5"/>
  <c r="O17" i="5"/>
  <c r="O21" i="5"/>
  <c r="O31" i="5"/>
  <c r="O67" i="5"/>
  <c r="O88" i="5"/>
  <c r="O94" i="5"/>
  <c r="K78" i="3"/>
  <c r="K77" i="3" s="1"/>
  <c r="O35" i="3"/>
  <c r="O42" i="3"/>
  <c r="O80" i="3"/>
  <c r="O17" i="3"/>
  <c r="K49" i="3"/>
  <c r="O88" i="3"/>
  <c r="O67" i="3"/>
  <c r="K24" i="3"/>
  <c r="O72" i="3"/>
  <c r="K13" i="3"/>
  <c r="K38" i="3"/>
  <c r="K37" i="3" s="1"/>
  <c r="K70" i="3"/>
  <c r="K69" i="3" s="1"/>
  <c r="O75" i="3"/>
  <c r="K49" i="2"/>
  <c r="K78" i="2"/>
  <c r="O20" i="2"/>
  <c r="K65" i="2"/>
  <c r="K69" i="2"/>
  <c r="O87" i="2"/>
  <c r="O60" i="2"/>
  <c r="O80" i="2"/>
  <c r="O35" i="2"/>
  <c r="O42" i="2"/>
  <c r="K92" i="2"/>
  <c r="K86" i="2"/>
  <c r="O43" i="2"/>
  <c r="O50" i="2"/>
  <c r="O90" i="2"/>
  <c r="O91" i="11"/>
  <c r="O55" i="11"/>
  <c r="O17" i="11"/>
  <c r="N61" i="10"/>
  <c r="O27" i="10"/>
  <c r="N89" i="9"/>
  <c r="O89" i="9" s="1"/>
  <c r="O67" i="9"/>
  <c r="O35" i="9"/>
  <c r="N45" i="8"/>
  <c r="O46" i="8"/>
  <c r="L81" i="2"/>
  <c r="O60" i="14"/>
  <c r="O25" i="14"/>
  <c r="K53" i="14"/>
  <c r="K61" i="14"/>
  <c r="O20" i="14"/>
  <c r="O16" i="14"/>
  <c r="O66" i="14"/>
  <c r="O43" i="14"/>
  <c r="O35" i="14"/>
  <c r="O29" i="14"/>
  <c r="K38" i="14"/>
  <c r="K95" i="14"/>
  <c r="O19" i="14"/>
  <c r="O31" i="14"/>
  <c r="O27" i="14"/>
  <c r="O94" i="14"/>
  <c r="O88" i="14"/>
  <c r="O50" i="14"/>
  <c r="N45" i="5"/>
  <c r="O32" i="5"/>
  <c r="O43" i="7"/>
  <c r="O39" i="7"/>
  <c r="L78" i="7"/>
  <c r="L78" i="12"/>
  <c r="L81" i="12"/>
  <c r="L70" i="13"/>
  <c r="O88" i="7"/>
  <c r="O54" i="7"/>
  <c r="O27" i="7"/>
  <c r="L78" i="6"/>
  <c r="L81" i="11"/>
  <c r="L73" i="12"/>
  <c r="N45" i="6"/>
  <c r="O54" i="5"/>
  <c r="O46" i="5"/>
  <c r="L70" i="5"/>
  <c r="L78" i="10"/>
  <c r="L73" i="11"/>
  <c r="L78" i="2"/>
  <c r="L70" i="3"/>
  <c r="L81" i="5"/>
  <c r="L73" i="6"/>
  <c r="L81" i="7"/>
  <c r="L70" i="9"/>
  <c r="L73" i="9"/>
  <c r="L78" i="11"/>
  <c r="L78" i="3"/>
  <c r="N79" i="10"/>
  <c r="O79" i="10" s="1"/>
  <c r="N79" i="12"/>
  <c r="O79" i="12" s="1"/>
  <c r="L73" i="3"/>
  <c r="L81" i="6"/>
  <c r="L70" i="7"/>
  <c r="L70" i="8"/>
  <c r="L81" i="9"/>
  <c r="L81" i="13"/>
  <c r="N89" i="12"/>
  <c r="N53" i="12"/>
  <c r="O54" i="12"/>
  <c r="N38" i="12"/>
  <c r="O38" i="12" s="1"/>
  <c r="O31" i="12"/>
  <c r="O17" i="12"/>
  <c r="O97" i="11"/>
  <c r="L85" i="11"/>
  <c r="L57" i="11"/>
  <c r="O27" i="11"/>
  <c r="O67" i="10"/>
  <c r="N58" i="10"/>
  <c r="N57" i="10" s="1"/>
  <c r="O54" i="10"/>
  <c r="O39" i="10"/>
  <c r="L37" i="10"/>
  <c r="O35" i="10"/>
  <c r="O90" i="9"/>
  <c r="N61" i="9"/>
  <c r="L57" i="9"/>
  <c r="O51" i="9"/>
  <c r="O18" i="9"/>
  <c r="N95" i="8"/>
  <c r="O96" i="8"/>
  <c r="L57" i="8"/>
  <c r="N49" i="8"/>
  <c r="O49" i="8" s="1"/>
  <c r="L37" i="8"/>
  <c r="O14" i="8"/>
  <c r="O22" i="8"/>
  <c r="O90" i="7"/>
  <c r="L57" i="7"/>
  <c r="O62" i="7"/>
  <c r="N38" i="7"/>
  <c r="O35" i="7"/>
  <c r="O28" i="7"/>
  <c r="O32" i="7"/>
  <c r="O14" i="7"/>
  <c r="O62" i="6"/>
  <c r="L57" i="6"/>
  <c r="N53" i="6"/>
  <c r="N89" i="5"/>
  <c r="O62" i="5"/>
  <c r="O43" i="5"/>
  <c r="O39" i="5"/>
  <c r="O27" i="5"/>
  <c r="N38" i="3"/>
  <c r="O38" i="3" s="1"/>
  <c r="O21" i="3"/>
  <c r="O97" i="2"/>
  <c r="O91" i="2"/>
  <c r="O63" i="2"/>
  <c r="O40" i="2"/>
  <c r="K24" i="13"/>
  <c r="O15" i="13"/>
  <c r="O20" i="13"/>
  <c r="O26" i="13"/>
  <c r="O29" i="13"/>
  <c r="O40" i="13"/>
  <c r="O42" i="13"/>
  <c r="O55" i="13"/>
  <c r="O59" i="13"/>
  <c r="K61" i="13"/>
  <c r="O61" i="13" s="1"/>
  <c r="O91" i="13"/>
  <c r="O93" i="13"/>
  <c r="O97" i="13"/>
  <c r="O80" i="13"/>
  <c r="O19" i="13"/>
  <c r="O25" i="13"/>
  <c r="O30" i="13"/>
  <c r="O47" i="13"/>
  <c r="O50" i="13"/>
  <c r="O72" i="13"/>
  <c r="O75" i="13"/>
  <c r="O83" i="13"/>
  <c r="O96" i="13"/>
  <c r="K13" i="12"/>
  <c r="O18" i="12"/>
  <c r="O20" i="12"/>
  <c r="O29" i="12"/>
  <c r="O50" i="12"/>
  <c r="O75" i="12"/>
  <c r="O26" i="12"/>
  <c r="O42" i="12"/>
  <c r="O60" i="12"/>
  <c r="K73" i="12"/>
  <c r="K69" i="12" s="1"/>
  <c r="O83" i="12"/>
  <c r="O87" i="12"/>
  <c r="O93" i="12"/>
  <c r="O97" i="12"/>
  <c r="O22" i="12"/>
  <c r="K24" i="12"/>
  <c r="K53" i="12"/>
  <c r="O31" i="11"/>
  <c r="K41" i="11"/>
  <c r="O46" i="11"/>
  <c r="O51" i="11"/>
  <c r="O59" i="11"/>
  <c r="O67" i="11"/>
  <c r="O88" i="11"/>
  <c r="O93" i="11"/>
  <c r="K58" i="11"/>
  <c r="K92" i="11"/>
  <c r="O14" i="11"/>
  <c r="O16" i="11"/>
  <c r="O28" i="11"/>
  <c r="O30" i="11"/>
  <c r="O32" i="11"/>
  <c r="O39" i="11"/>
  <c r="O60" i="11"/>
  <c r="O66" i="11"/>
  <c r="O72" i="11"/>
  <c r="O87" i="11"/>
  <c r="O94" i="11"/>
  <c r="K13" i="10"/>
  <c r="O22" i="10"/>
  <c r="O25" i="10"/>
  <c r="O75" i="10"/>
  <c r="O80" i="10"/>
  <c r="O93" i="10"/>
  <c r="O26" i="10"/>
  <c r="O51" i="10"/>
  <c r="O66" i="10"/>
  <c r="O94" i="10"/>
  <c r="O15" i="9"/>
  <c r="O55" i="9"/>
  <c r="O59" i="9"/>
  <c r="O83" i="9"/>
  <c r="O87" i="9"/>
  <c r="O91" i="9"/>
  <c r="O93" i="9"/>
  <c r="O19" i="9"/>
  <c r="O21" i="9"/>
  <c r="K24" i="9"/>
  <c r="O28" i="9"/>
  <c r="O30" i="9"/>
  <c r="O32" i="9"/>
  <c r="O39" i="9"/>
  <c r="O43" i="9"/>
  <c r="K45" i="9"/>
  <c r="O75" i="9"/>
  <c r="O96" i="9"/>
  <c r="O14" i="9"/>
  <c r="O25" i="9"/>
  <c r="K38" i="9"/>
  <c r="O47" i="9"/>
  <c r="O50" i="9"/>
  <c r="O60" i="9"/>
  <c r="K61" i="9"/>
  <c r="K73" i="9"/>
  <c r="O88" i="9"/>
  <c r="O94" i="9"/>
  <c r="K95" i="9"/>
  <c r="K85" i="9" s="1"/>
  <c r="O17" i="8"/>
  <c r="O19" i="8"/>
  <c r="O21" i="8"/>
  <c r="O26" i="8"/>
  <c r="O30" i="8"/>
  <c r="O43" i="8"/>
  <c r="O66" i="8"/>
  <c r="O35" i="8"/>
  <c r="O72" i="8"/>
  <c r="O75" i="8"/>
  <c r="O59" i="8"/>
  <c r="O83" i="8"/>
  <c r="O87" i="8"/>
  <c r="O93" i="8"/>
  <c r="O16" i="8"/>
  <c r="O20" i="8"/>
  <c r="O67" i="8"/>
  <c r="K73" i="8"/>
  <c r="K95" i="8"/>
  <c r="O16" i="7"/>
  <c r="O30" i="7"/>
  <c r="O51" i="7"/>
  <c r="O66" i="7"/>
  <c r="O96" i="7"/>
  <c r="K13" i="7"/>
  <c r="K38" i="7"/>
  <c r="K37" i="7" s="1"/>
  <c r="K45" i="7"/>
  <c r="O72" i="7"/>
  <c r="K95" i="7"/>
  <c r="K24" i="7"/>
  <c r="O29" i="7"/>
  <c r="O31" i="7"/>
  <c r="O42" i="7"/>
  <c r="O67" i="7"/>
  <c r="K89" i="7"/>
  <c r="O28" i="6"/>
  <c r="O32" i="6"/>
  <c r="O35" i="6"/>
  <c r="O55" i="6"/>
  <c r="O63" i="6"/>
  <c r="O66" i="6"/>
  <c r="O80" i="6"/>
  <c r="O88" i="6"/>
  <c r="K89" i="6"/>
  <c r="K85" i="6" s="1"/>
  <c r="O97" i="6"/>
  <c r="K24" i="6"/>
  <c r="O27" i="6"/>
  <c r="O31" i="6"/>
  <c r="O60" i="6"/>
  <c r="O67" i="6"/>
  <c r="O75" i="6"/>
  <c r="O83" i="6"/>
  <c r="O87" i="6"/>
  <c r="O30" i="5"/>
  <c r="O51" i="5"/>
  <c r="O93" i="5"/>
  <c r="O16" i="5"/>
  <c r="O20" i="5"/>
  <c r="O25" i="5"/>
  <c r="O35" i="5"/>
  <c r="K38" i="5"/>
  <c r="K37" i="5" s="1"/>
  <c r="K45" i="5"/>
  <c r="O45" i="5" s="1"/>
  <c r="O72" i="5"/>
  <c r="O75" i="5"/>
  <c r="O83" i="5"/>
  <c r="O87" i="5"/>
  <c r="O96" i="5"/>
  <c r="K57" i="5"/>
  <c r="O66" i="5"/>
  <c r="K13" i="5"/>
  <c r="O29" i="5"/>
  <c r="O42" i="5"/>
  <c r="K73" i="5"/>
  <c r="K95" i="5"/>
  <c r="O28" i="3"/>
  <c r="O30" i="3"/>
  <c r="O60" i="3"/>
  <c r="O83" i="3"/>
  <c r="O87" i="3"/>
  <c r="O94" i="3"/>
  <c r="K95" i="3"/>
  <c r="K85" i="3" s="1"/>
  <c r="O26" i="3"/>
  <c r="O14" i="3"/>
  <c r="O16" i="3"/>
  <c r="O18" i="3"/>
  <c r="O20" i="3"/>
  <c r="O32" i="3"/>
  <c r="O51" i="3"/>
  <c r="K53" i="3"/>
  <c r="O66" i="3"/>
  <c r="O79" i="3"/>
  <c r="O90" i="3"/>
  <c r="O97" i="3"/>
  <c r="O14" i="2"/>
  <c r="O16" i="2"/>
  <c r="O27" i="2"/>
  <c r="O31" i="2"/>
  <c r="K41" i="2"/>
  <c r="O46" i="2"/>
  <c r="K58" i="2"/>
  <c r="O83" i="2"/>
  <c r="O94" i="2"/>
  <c r="O67" i="2"/>
  <c r="O75" i="2"/>
  <c r="O28" i="2"/>
  <c r="O30" i="2"/>
  <c r="O32" i="2"/>
  <c r="O39" i="2"/>
  <c r="O54" i="2"/>
  <c r="O66" i="2"/>
  <c r="O88" i="2"/>
  <c r="O93" i="2"/>
  <c r="L85" i="12"/>
  <c r="L57" i="12"/>
  <c r="L37" i="12"/>
  <c r="N13" i="12"/>
  <c r="O63" i="11"/>
  <c r="O47" i="11"/>
  <c r="O40" i="11"/>
  <c r="L37" i="11"/>
  <c r="N24" i="11"/>
  <c r="O25" i="11"/>
  <c r="O29" i="11"/>
  <c r="O15" i="11"/>
  <c r="O19" i="11"/>
  <c r="N95" i="10"/>
  <c r="O95" i="10" s="1"/>
  <c r="O96" i="10"/>
  <c r="L85" i="10"/>
  <c r="N89" i="10"/>
  <c r="O90" i="10"/>
  <c r="L57" i="10"/>
  <c r="O62" i="10"/>
  <c r="N49" i="10"/>
  <c r="O49" i="10" s="1"/>
  <c r="N53" i="10"/>
  <c r="N45" i="10"/>
  <c r="O46" i="10"/>
  <c r="N38" i="10"/>
  <c r="O32" i="10"/>
  <c r="N13" i="10"/>
  <c r="O54" i="8"/>
  <c r="L85" i="9"/>
  <c r="O62" i="9"/>
  <c r="O53" i="9"/>
  <c r="N45" i="9"/>
  <c r="O46" i="9"/>
  <c r="N38" i="9"/>
  <c r="L37" i="9"/>
  <c r="N24" i="9"/>
  <c r="N13" i="9"/>
  <c r="O22" i="9"/>
  <c r="O32" i="8"/>
  <c r="L85" i="8"/>
  <c r="N89" i="8"/>
  <c r="O90" i="8"/>
  <c r="O62" i="8"/>
  <c r="N61" i="8"/>
  <c r="O61" i="8" s="1"/>
  <c r="N53" i="8"/>
  <c r="O53" i="8" s="1"/>
  <c r="O39" i="8"/>
  <c r="N38" i="8"/>
  <c r="O28" i="8"/>
  <c r="N13" i="8"/>
  <c r="O18" i="8"/>
  <c r="L85" i="7"/>
  <c r="N45" i="7"/>
  <c r="O46" i="7"/>
  <c r="N95" i="6"/>
  <c r="N89" i="6"/>
  <c r="L85" i="6"/>
  <c r="N95" i="5"/>
  <c r="N92" i="3"/>
  <c r="O92" i="3" s="1"/>
  <c r="L85" i="2"/>
  <c r="L57" i="2"/>
  <c r="O55" i="2"/>
  <c r="L61" i="14"/>
  <c r="L49" i="14"/>
  <c r="N95" i="7"/>
  <c r="N89" i="7"/>
  <c r="N61" i="7"/>
  <c r="N58" i="7"/>
  <c r="O58" i="7" s="1"/>
  <c r="N49" i="7"/>
  <c r="O49" i="7" s="1"/>
  <c r="L37" i="7"/>
  <c r="N13" i="7"/>
  <c r="O13" i="7" s="1"/>
  <c r="O79" i="13"/>
  <c r="N78" i="13"/>
  <c r="O78" i="13" s="1"/>
  <c r="O79" i="9"/>
  <c r="N78" i="9"/>
  <c r="O74" i="2"/>
  <c r="N73" i="2"/>
  <c r="O73" i="2" s="1"/>
  <c r="O79" i="5"/>
  <c r="N78" i="5"/>
  <c r="O78" i="5" s="1"/>
  <c r="O79" i="8"/>
  <c r="N78" i="8"/>
  <c r="L73" i="2"/>
  <c r="L78" i="9"/>
  <c r="L78" i="13"/>
  <c r="N78" i="3"/>
  <c r="O78" i="3" s="1"/>
  <c r="L78" i="5"/>
  <c r="L70" i="6"/>
  <c r="N80" i="7"/>
  <c r="O80" i="7" s="1"/>
  <c r="L78" i="8"/>
  <c r="N79" i="11"/>
  <c r="N78" i="11" s="1"/>
  <c r="O78" i="11" s="1"/>
  <c r="L70" i="2"/>
  <c r="K77" i="2"/>
  <c r="N79" i="2"/>
  <c r="N78" i="2" s="1"/>
  <c r="L73" i="7"/>
  <c r="L73" i="8"/>
  <c r="L81" i="10"/>
  <c r="L70" i="11"/>
  <c r="N75" i="11"/>
  <c r="L70" i="12"/>
  <c r="K69" i="7"/>
  <c r="L73" i="10"/>
  <c r="L73" i="13"/>
  <c r="O96" i="6"/>
  <c r="N61" i="6"/>
  <c r="O54" i="6"/>
  <c r="N38" i="6"/>
  <c r="O38" i="6" s="1"/>
  <c r="L37" i="6"/>
  <c r="N13" i="6"/>
  <c r="O47" i="2"/>
  <c r="L45" i="14"/>
  <c r="O25" i="2"/>
  <c r="O29" i="2"/>
  <c r="L65" i="14"/>
  <c r="L38" i="14"/>
  <c r="L85" i="5"/>
  <c r="O90" i="5"/>
  <c r="L57" i="5"/>
  <c r="N61" i="5"/>
  <c r="O61" i="5" s="1"/>
  <c r="N58" i="5"/>
  <c r="O58" i="5" s="1"/>
  <c r="N53" i="5"/>
  <c r="N49" i="5"/>
  <c r="O49" i="5" s="1"/>
  <c r="N38" i="5"/>
  <c r="N13" i="5"/>
  <c r="O14" i="5"/>
  <c r="O18" i="5"/>
  <c r="L85" i="3"/>
  <c r="L57" i="3"/>
  <c r="N61" i="3"/>
  <c r="O62" i="3"/>
  <c r="N53" i="3"/>
  <c r="O53" i="3" s="1"/>
  <c r="O54" i="3"/>
  <c r="L53" i="14"/>
  <c r="N45" i="3"/>
  <c r="O45" i="3" s="1"/>
  <c r="O46" i="3"/>
  <c r="O39" i="3"/>
  <c r="L37" i="3"/>
  <c r="N39" i="14"/>
  <c r="O39" i="14" s="1"/>
  <c r="N13" i="3"/>
  <c r="O13" i="3" s="1"/>
  <c r="L95" i="14"/>
  <c r="N96" i="14"/>
  <c r="O96" i="14" s="1"/>
  <c r="L92" i="14"/>
  <c r="L89" i="14"/>
  <c r="N67" i="14"/>
  <c r="O67" i="14" s="1"/>
  <c r="L58" i="14"/>
  <c r="N46" i="14"/>
  <c r="O46" i="14" s="1"/>
  <c r="L41" i="14"/>
  <c r="L37" i="2"/>
  <c r="N24" i="2"/>
  <c r="O15" i="2"/>
  <c r="O19" i="2"/>
  <c r="N93" i="14"/>
  <c r="O93" i="14" s="1"/>
  <c r="L86" i="14"/>
  <c r="N62" i="14"/>
  <c r="N61" i="14" s="1"/>
  <c r="O61" i="14" s="1"/>
  <c r="N54" i="14"/>
  <c r="N53" i="14" s="1"/>
  <c r="N51" i="14"/>
  <c r="O51" i="14" s="1"/>
  <c r="N42" i="14"/>
  <c r="O42" i="14" s="1"/>
  <c r="L13" i="14"/>
  <c r="N40" i="14"/>
  <c r="O40" i="14" s="1"/>
  <c r="N90" i="14"/>
  <c r="N89" i="14" s="1"/>
  <c r="N58" i="14"/>
  <c r="O58" i="14" s="1"/>
  <c r="O32" i="14"/>
  <c r="L24" i="14"/>
  <c r="O28" i="14"/>
  <c r="N13" i="14"/>
  <c r="O22" i="14"/>
  <c r="O18" i="14"/>
  <c r="O14" i="14"/>
  <c r="O59" i="14"/>
  <c r="N86" i="14"/>
  <c r="O15" i="14"/>
  <c r="N24" i="14"/>
  <c r="O47" i="14"/>
  <c r="O55" i="14"/>
  <c r="O63" i="14"/>
  <c r="O91" i="14"/>
  <c r="K89" i="14"/>
  <c r="O13" i="13"/>
  <c r="O74" i="13"/>
  <c r="N73" i="13"/>
  <c r="O16" i="13"/>
  <c r="N41" i="13"/>
  <c r="N49" i="13"/>
  <c r="O49" i="13" s="1"/>
  <c r="N58" i="13"/>
  <c r="N65" i="13"/>
  <c r="O65" i="13" s="1"/>
  <c r="N71" i="13"/>
  <c r="N82" i="13"/>
  <c r="N86" i="13"/>
  <c r="N92" i="13"/>
  <c r="N24" i="13"/>
  <c r="N95" i="13"/>
  <c r="O82" i="12"/>
  <c r="N81" i="12"/>
  <c r="O81" i="12" s="1"/>
  <c r="O13" i="12"/>
  <c r="O74" i="12"/>
  <c r="N73" i="12"/>
  <c r="N70" i="12"/>
  <c r="O71" i="12"/>
  <c r="O89" i="12"/>
  <c r="N58" i="12"/>
  <c r="K61" i="12"/>
  <c r="K57" i="12" s="1"/>
  <c r="O15" i="12"/>
  <c r="N24" i="12"/>
  <c r="O40" i="12"/>
  <c r="O47" i="12"/>
  <c r="O55" i="12"/>
  <c r="O63" i="12"/>
  <c r="O91" i="12"/>
  <c r="N41" i="12"/>
  <c r="N49" i="12"/>
  <c r="O49" i="12" s="1"/>
  <c r="N65" i="12"/>
  <c r="N86" i="12"/>
  <c r="N92" i="12"/>
  <c r="O92" i="12" s="1"/>
  <c r="N95" i="12"/>
  <c r="O95" i="12" s="1"/>
  <c r="K13" i="11"/>
  <c r="O26" i="11"/>
  <c r="K38" i="11"/>
  <c r="N41" i="11"/>
  <c r="K45" i="11"/>
  <c r="N49" i="11"/>
  <c r="K53" i="11"/>
  <c r="N58" i="11"/>
  <c r="K61" i="11"/>
  <c r="N65" i="11"/>
  <c r="N71" i="11"/>
  <c r="N82" i="11"/>
  <c r="N86" i="11"/>
  <c r="K89" i="11"/>
  <c r="N92" i="11"/>
  <c r="K95" i="11"/>
  <c r="N13" i="11"/>
  <c r="N38" i="11"/>
  <c r="N45" i="11"/>
  <c r="N53" i="11"/>
  <c r="N61" i="11"/>
  <c r="N89" i="11"/>
  <c r="N95" i="11"/>
  <c r="N81" i="10"/>
  <c r="O81" i="10" s="1"/>
  <c r="O82" i="10"/>
  <c r="O74" i="10"/>
  <c r="N73" i="10"/>
  <c r="O71" i="10"/>
  <c r="N70" i="10"/>
  <c r="K38" i="10"/>
  <c r="K37" i="10" s="1"/>
  <c r="O50" i="10"/>
  <c r="O59" i="10"/>
  <c r="N65" i="10"/>
  <c r="O65" i="10" s="1"/>
  <c r="N86" i="10"/>
  <c r="K89" i="10"/>
  <c r="K85" i="10" s="1"/>
  <c r="O15" i="10"/>
  <c r="N24" i="10"/>
  <c r="O40" i="10"/>
  <c r="O47" i="10"/>
  <c r="O55" i="10"/>
  <c r="O63" i="10"/>
  <c r="O91" i="10"/>
  <c r="O97" i="10"/>
  <c r="L70" i="10"/>
  <c r="N41" i="10"/>
  <c r="K61" i="10"/>
  <c r="N92" i="10"/>
  <c r="O92" i="10" s="1"/>
  <c r="O74" i="9"/>
  <c r="N73" i="9"/>
  <c r="O16" i="9"/>
  <c r="O26" i="9"/>
  <c r="N41" i="9"/>
  <c r="N49" i="9"/>
  <c r="O49" i="9" s="1"/>
  <c r="N58" i="9"/>
  <c r="N65" i="9"/>
  <c r="O65" i="9" s="1"/>
  <c r="N71" i="9"/>
  <c r="N82" i="9"/>
  <c r="N86" i="9"/>
  <c r="N92" i="9"/>
  <c r="O92" i="9" s="1"/>
  <c r="N95" i="9"/>
  <c r="O82" i="8"/>
  <c r="N81" i="8"/>
  <c r="N70" i="8"/>
  <c r="O71" i="8"/>
  <c r="K69" i="8"/>
  <c r="L81" i="8"/>
  <c r="O50" i="8"/>
  <c r="N58" i="8"/>
  <c r="N65" i="8"/>
  <c r="N86" i="8"/>
  <c r="O15" i="8"/>
  <c r="N24" i="8"/>
  <c r="O24" i="8" s="1"/>
  <c r="O40" i="8"/>
  <c r="O47" i="8"/>
  <c r="O55" i="8"/>
  <c r="O63" i="8"/>
  <c r="N74" i="8"/>
  <c r="O91" i="8"/>
  <c r="O97" i="8"/>
  <c r="K38" i="8"/>
  <c r="K37" i="8" s="1"/>
  <c r="N41" i="8"/>
  <c r="O41" i="8" s="1"/>
  <c r="K89" i="8"/>
  <c r="N92" i="8"/>
  <c r="O92" i="8" s="1"/>
  <c r="N70" i="7"/>
  <c r="O71" i="7"/>
  <c r="O82" i="7"/>
  <c r="N81" i="7"/>
  <c r="O74" i="7"/>
  <c r="O50" i="7"/>
  <c r="O59" i="7"/>
  <c r="O79" i="7"/>
  <c r="N86" i="7"/>
  <c r="O15" i="7"/>
  <c r="N24" i="7"/>
  <c r="O40" i="7"/>
  <c r="O47" i="7"/>
  <c r="O55" i="7"/>
  <c r="O63" i="7"/>
  <c r="N75" i="7"/>
  <c r="O75" i="7" s="1"/>
  <c r="O91" i="7"/>
  <c r="O97" i="7"/>
  <c r="N41" i="7"/>
  <c r="O41" i="7" s="1"/>
  <c r="N65" i="7"/>
  <c r="N92" i="7"/>
  <c r="O92" i="7" s="1"/>
  <c r="O42" i="6"/>
  <c r="N41" i="6"/>
  <c r="O71" i="6"/>
  <c r="N70" i="6"/>
  <c r="O17" i="6"/>
  <c r="O26" i="6"/>
  <c r="O29" i="6"/>
  <c r="O16" i="6"/>
  <c r="O19" i="6"/>
  <c r="O82" i="6"/>
  <c r="N81" i="6"/>
  <c r="O81" i="6" s="1"/>
  <c r="K13" i="6"/>
  <c r="O25" i="6"/>
  <c r="O30" i="6"/>
  <c r="O47" i="6"/>
  <c r="O50" i="6"/>
  <c r="N49" i="6"/>
  <c r="O59" i="6"/>
  <c r="O74" i="6"/>
  <c r="N73" i="6"/>
  <c r="O73" i="6" s="1"/>
  <c r="O79" i="6"/>
  <c r="N78" i="6"/>
  <c r="N58" i="6"/>
  <c r="N65" i="6"/>
  <c r="O65" i="6" s="1"/>
  <c r="N86" i="6"/>
  <c r="N92" i="6"/>
  <c r="O92" i="6" s="1"/>
  <c r="N24" i="6"/>
  <c r="O71" i="5"/>
  <c r="N70" i="5"/>
  <c r="N81" i="5"/>
  <c r="O81" i="5" s="1"/>
  <c r="O82" i="5"/>
  <c r="K69" i="5"/>
  <c r="O74" i="5"/>
  <c r="N73" i="5"/>
  <c r="O50" i="5"/>
  <c r="O59" i="5"/>
  <c r="N65" i="5"/>
  <c r="L73" i="5"/>
  <c r="O15" i="5"/>
  <c r="N24" i="5"/>
  <c r="O24" i="5" s="1"/>
  <c r="O40" i="5"/>
  <c r="O47" i="5"/>
  <c r="O55" i="5"/>
  <c r="O63" i="5"/>
  <c r="O91" i="5"/>
  <c r="O97" i="5"/>
  <c r="N41" i="5"/>
  <c r="O41" i="5" s="1"/>
  <c r="K53" i="5"/>
  <c r="N86" i="5"/>
  <c r="K89" i="5"/>
  <c r="N92" i="5"/>
  <c r="N70" i="3"/>
  <c r="O71" i="3"/>
  <c r="O82" i="3"/>
  <c r="N81" i="3"/>
  <c r="O81" i="3" s="1"/>
  <c r="N41" i="3"/>
  <c r="O41" i="3" s="1"/>
  <c r="N49" i="3"/>
  <c r="N58" i="3"/>
  <c r="N65" i="3"/>
  <c r="O65" i="3" s="1"/>
  <c r="O93" i="3"/>
  <c r="O15" i="3"/>
  <c r="N24" i="3"/>
  <c r="O24" i="3" s="1"/>
  <c r="O40" i="3"/>
  <c r="O47" i="3"/>
  <c r="O55" i="3"/>
  <c r="O63" i="3"/>
  <c r="N74" i="3"/>
  <c r="L81" i="3"/>
  <c r="K61" i="3"/>
  <c r="K57" i="3" s="1"/>
  <c r="N86" i="3"/>
  <c r="N89" i="3"/>
  <c r="O89" i="3" s="1"/>
  <c r="N95" i="3"/>
  <c r="O95" i="3" s="1"/>
  <c r="O71" i="2"/>
  <c r="K24" i="2"/>
  <c r="K13" i="2"/>
  <c r="O26" i="2"/>
  <c r="K38" i="2"/>
  <c r="K37" i="2" s="1"/>
  <c r="N41" i="2"/>
  <c r="O41" i="2" s="1"/>
  <c r="K45" i="2"/>
  <c r="N49" i="2"/>
  <c r="O49" i="2" s="1"/>
  <c r="K53" i="2"/>
  <c r="N58" i="2"/>
  <c r="K61" i="2"/>
  <c r="N65" i="2"/>
  <c r="O65" i="2" s="1"/>
  <c r="N72" i="2"/>
  <c r="O72" i="2" s="1"/>
  <c r="N82" i="2"/>
  <c r="N86" i="2"/>
  <c r="K89" i="2"/>
  <c r="N92" i="2"/>
  <c r="K95" i="2"/>
  <c r="N13" i="2"/>
  <c r="O13" i="2" s="1"/>
  <c r="N38" i="2"/>
  <c r="N45" i="2"/>
  <c r="N53" i="2"/>
  <c r="N61" i="2"/>
  <c r="N89" i="2"/>
  <c r="N95" i="2"/>
  <c r="O53" i="7" l="1"/>
  <c r="O65" i="7"/>
  <c r="O24" i="6"/>
  <c r="O73" i="10"/>
  <c r="O53" i="10"/>
  <c r="K69" i="9"/>
  <c r="K37" i="9"/>
  <c r="O13" i="9"/>
  <c r="K77" i="8"/>
  <c r="O81" i="8"/>
  <c r="O65" i="8"/>
  <c r="K77" i="7"/>
  <c r="O49" i="3"/>
  <c r="K37" i="14"/>
  <c r="K57" i="14"/>
  <c r="K69" i="14"/>
  <c r="O73" i="13"/>
  <c r="K37" i="12"/>
  <c r="K37" i="11"/>
  <c r="O61" i="11"/>
  <c r="O41" i="11"/>
  <c r="O24" i="11"/>
  <c r="O65" i="12"/>
  <c r="O95" i="13"/>
  <c r="O24" i="14"/>
  <c r="O38" i="13"/>
  <c r="O24" i="13"/>
  <c r="O92" i="13"/>
  <c r="K85" i="13"/>
  <c r="O49" i="11"/>
  <c r="O65" i="11"/>
  <c r="K57" i="10"/>
  <c r="O57" i="10" s="1"/>
  <c r="O41" i="10"/>
  <c r="O24" i="10"/>
  <c r="O73" i="9"/>
  <c r="O78" i="9"/>
  <c r="O81" i="7"/>
  <c r="O95" i="7"/>
  <c r="O41" i="6"/>
  <c r="O49" i="6"/>
  <c r="O61" i="6"/>
  <c r="K57" i="6"/>
  <c r="K99" i="6" s="1"/>
  <c r="O65" i="5"/>
  <c r="O92" i="5"/>
  <c r="O78" i="2"/>
  <c r="O92" i="2"/>
  <c r="K57" i="13"/>
  <c r="K99" i="13" s="1"/>
  <c r="O41" i="12"/>
  <c r="K77" i="12"/>
  <c r="K99" i="12" s="1"/>
  <c r="K57" i="9"/>
  <c r="K99" i="9" s="1"/>
  <c r="O45" i="8"/>
  <c r="O89" i="7"/>
  <c r="O95" i="6"/>
  <c r="O45" i="6"/>
  <c r="O13" i="5"/>
  <c r="O38" i="5"/>
  <c r="K57" i="2"/>
  <c r="O53" i="14"/>
  <c r="O53" i="2"/>
  <c r="L77" i="7"/>
  <c r="O89" i="13"/>
  <c r="O89" i="11"/>
  <c r="K57" i="11"/>
  <c r="O58" i="10"/>
  <c r="O45" i="10"/>
  <c r="O45" i="9"/>
  <c r="O89" i="8"/>
  <c r="O95" i="8"/>
  <c r="O13" i="8"/>
  <c r="K85" i="7"/>
  <c r="K99" i="7" s="1"/>
  <c r="O89" i="6"/>
  <c r="O53" i="6"/>
  <c r="O95" i="5"/>
  <c r="K85" i="5"/>
  <c r="O73" i="5"/>
  <c r="O24" i="2"/>
  <c r="O89" i="2"/>
  <c r="K85" i="2"/>
  <c r="L77" i="2"/>
  <c r="L69" i="7"/>
  <c r="L99" i="7" s="1"/>
  <c r="O13" i="10"/>
  <c r="O24" i="9"/>
  <c r="L77" i="11"/>
  <c r="L69" i="11"/>
  <c r="K85" i="14"/>
  <c r="N57" i="5"/>
  <c r="O57" i="5" s="1"/>
  <c r="L69" i="13"/>
  <c r="L69" i="6"/>
  <c r="L77" i="12"/>
  <c r="L77" i="6"/>
  <c r="N57" i="7"/>
  <c r="O57" i="7" s="1"/>
  <c r="N70" i="2"/>
  <c r="O70" i="2" s="1"/>
  <c r="N78" i="10"/>
  <c r="L77" i="5"/>
  <c r="L69" i="9"/>
  <c r="L69" i="5"/>
  <c r="L69" i="12"/>
  <c r="L99" i="12" s="1"/>
  <c r="L77" i="10"/>
  <c r="O79" i="2"/>
  <c r="L77" i="3"/>
  <c r="N73" i="7"/>
  <c r="O73" i="7" s="1"/>
  <c r="L77" i="8"/>
  <c r="L69" i="10"/>
  <c r="L69" i="2"/>
  <c r="L77" i="13"/>
  <c r="N77" i="8"/>
  <c r="O77" i="8" s="1"/>
  <c r="L69" i="8"/>
  <c r="N78" i="12"/>
  <c r="O79" i="11"/>
  <c r="O78" i="8"/>
  <c r="L77" i="9"/>
  <c r="L69" i="3"/>
  <c r="O53" i="12"/>
  <c r="L37" i="14"/>
  <c r="O61" i="7"/>
  <c r="O45" i="7"/>
  <c r="N37" i="3"/>
  <c r="O37" i="3" s="1"/>
  <c r="O24" i="12"/>
  <c r="O73" i="12"/>
  <c r="O45" i="11"/>
  <c r="O92" i="11"/>
  <c r="K85" i="11"/>
  <c r="O89" i="10"/>
  <c r="O95" i="9"/>
  <c r="O61" i="9"/>
  <c r="O38" i="9"/>
  <c r="K85" i="8"/>
  <c r="K99" i="8" s="1"/>
  <c r="O24" i="7"/>
  <c r="O38" i="7"/>
  <c r="K99" i="5"/>
  <c r="K99" i="3"/>
  <c r="O61" i="10"/>
  <c r="N37" i="10"/>
  <c r="O37" i="10" s="1"/>
  <c r="O38" i="10"/>
  <c r="N45" i="14"/>
  <c r="O45" i="14" s="1"/>
  <c r="L57" i="14"/>
  <c r="N77" i="5"/>
  <c r="O77" i="5" s="1"/>
  <c r="O75" i="11"/>
  <c r="N73" i="11"/>
  <c r="O73" i="11" s="1"/>
  <c r="N78" i="7"/>
  <c r="N49" i="14"/>
  <c r="O49" i="14" s="1"/>
  <c r="N37" i="6"/>
  <c r="O37" i="6" s="1"/>
  <c r="O13" i="14"/>
  <c r="N65" i="14"/>
  <c r="O65" i="14" s="1"/>
  <c r="O62" i="14"/>
  <c r="N37" i="5"/>
  <c r="O37" i="5" s="1"/>
  <c r="N95" i="14"/>
  <c r="O95" i="14" s="1"/>
  <c r="O90" i="14"/>
  <c r="L85" i="14"/>
  <c r="O54" i="14"/>
  <c r="N92" i="14"/>
  <c r="O92" i="14" s="1"/>
  <c r="N41" i="14"/>
  <c r="O41" i="14" s="1"/>
  <c r="N38" i="14"/>
  <c r="O38" i="14" s="1"/>
  <c r="N57" i="14"/>
  <c r="O89" i="14"/>
  <c r="O86" i="14"/>
  <c r="O71" i="13"/>
  <c r="N70" i="13"/>
  <c r="O82" i="13"/>
  <c r="N81" i="13"/>
  <c r="O58" i="13"/>
  <c r="N57" i="13"/>
  <c r="N37" i="13"/>
  <c r="O37" i="13" s="1"/>
  <c r="O41" i="13"/>
  <c r="O86" i="13"/>
  <c r="N85" i="13"/>
  <c r="N85" i="12"/>
  <c r="O85" i="12" s="1"/>
  <c r="O86" i="12"/>
  <c r="N69" i="12"/>
  <c r="O69" i="12" s="1"/>
  <c r="O70" i="12"/>
  <c r="N57" i="12"/>
  <c r="O57" i="12" s="1"/>
  <c r="O58" i="12"/>
  <c r="O61" i="12"/>
  <c r="N37" i="12"/>
  <c r="N37" i="11"/>
  <c r="O38" i="11"/>
  <c r="O13" i="11"/>
  <c r="O53" i="11"/>
  <c r="O82" i="11"/>
  <c r="N81" i="11"/>
  <c r="O71" i="11"/>
  <c r="N70" i="11"/>
  <c r="O86" i="11"/>
  <c r="N85" i="11"/>
  <c r="O95" i="11"/>
  <c r="O58" i="11"/>
  <c r="N57" i="11"/>
  <c r="N85" i="10"/>
  <c r="O85" i="10" s="1"/>
  <c r="O86" i="10"/>
  <c r="N69" i="10"/>
  <c r="O69" i="10" s="1"/>
  <c r="O70" i="10"/>
  <c r="O71" i="9"/>
  <c r="N70" i="9"/>
  <c r="N37" i="9"/>
  <c r="O41" i="9"/>
  <c r="O86" i="9"/>
  <c r="N85" i="9"/>
  <c r="O85" i="9" s="1"/>
  <c r="O82" i="9"/>
  <c r="N81" i="9"/>
  <c r="O58" i="9"/>
  <c r="N57" i="9"/>
  <c r="O74" i="8"/>
  <c r="N73" i="8"/>
  <c r="O73" i="8" s="1"/>
  <c r="N57" i="8"/>
  <c r="O57" i="8" s="1"/>
  <c r="O58" i="8"/>
  <c r="O70" i="8"/>
  <c r="O38" i="8"/>
  <c r="N37" i="8"/>
  <c r="O37" i="8" s="1"/>
  <c r="N85" i="8"/>
  <c r="O86" i="8"/>
  <c r="N85" i="7"/>
  <c r="O86" i="7"/>
  <c r="N37" i="7"/>
  <c r="O37" i="7" s="1"/>
  <c r="O70" i="7"/>
  <c r="O58" i="6"/>
  <c r="N57" i="6"/>
  <c r="N77" i="6"/>
  <c r="O77" i="6" s="1"/>
  <c r="O78" i="6"/>
  <c r="O70" i="6"/>
  <c r="N69" i="6"/>
  <c r="O69" i="6" s="1"/>
  <c r="O13" i="6"/>
  <c r="O86" i="6"/>
  <c r="N85" i="6"/>
  <c r="O85" i="6" s="1"/>
  <c r="O70" i="5"/>
  <c r="N69" i="5"/>
  <c r="O69" i="5" s="1"/>
  <c r="N85" i="5"/>
  <c r="O86" i="5"/>
  <c r="O89" i="5"/>
  <c r="O53" i="5"/>
  <c r="O61" i="3"/>
  <c r="N57" i="3"/>
  <c r="O57" i="3" s="1"/>
  <c r="O58" i="3"/>
  <c r="O74" i="3"/>
  <c r="N73" i="3"/>
  <c r="O73" i="3" s="1"/>
  <c r="O86" i="3"/>
  <c r="N85" i="3"/>
  <c r="O85" i="3" s="1"/>
  <c r="O70" i="3"/>
  <c r="N77" i="3"/>
  <c r="O77" i="3" s="1"/>
  <c r="O82" i="2"/>
  <c r="N81" i="2"/>
  <c r="O95" i="2"/>
  <c r="O45" i="2"/>
  <c r="O58" i="2"/>
  <c r="N57" i="2"/>
  <c r="O57" i="2" s="1"/>
  <c r="N37" i="2"/>
  <c r="O37" i="2" s="1"/>
  <c r="O38" i="2"/>
  <c r="O61" i="2"/>
  <c r="O86" i="2"/>
  <c r="N85" i="2"/>
  <c r="K99" i="10" l="1"/>
  <c r="L99" i="13"/>
  <c r="O85" i="7"/>
  <c r="O57" i="6"/>
  <c r="O37" i="12"/>
  <c r="O37" i="11"/>
  <c r="L99" i="11"/>
  <c r="O57" i="14"/>
  <c r="O85" i="5"/>
  <c r="K99" i="14"/>
  <c r="O85" i="13"/>
  <c r="O57" i="13"/>
  <c r="O85" i="11"/>
  <c r="O57" i="9"/>
  <c r="K99" i="2"/>
  <c r="K99" i="11"/>
  <c r="O57" i="11"/>
  <c r="L99" i="3"/>
  <c r="O85" i="2"/>
  <c r="L99" i="2"/>
  <c r="L99" i="6"/>
  <c r="O85" i="8"/>
  <c r="N69" i="2"/>
  <c r="O69" i="2" s="1"/>
  <c r="L99" i="8"/>
  <c r="L99" i="5"/>
  <c r="L99" i="10"/>
  <c r="L99" i="9"/>
  <c r="N77" i="10"/>
  <c r="O77" i="10" s="1"/>
  <c r="O78" i="10"/>
  <c r="N69" i="7"/>
  <c r="O69" i="7" s="1"/>
  <c r="N69" i="8"/>
  <c r="O69" i="8" s="1"/>
  <c r="N77" i="12"/>
  <c r="O77" i="12" s="1"/>
  <c r="O78" i="12"/>
  <c r="N69" i="3"/>
  <c r="O69" i="3" s="1"/>
  <c r="N77" i="7"/>
  <c r="O77" i="7" s="1"/>
  <c r="O78" i="7"/>
  <c r="N37" i="14"/>
  <c r="N85" i="14"/>
  <c r="O85" i="14" s="1"/>
  <c r="O70" i="13"/>
  <c r="N69" i="13"/>
  <c r="O81" i="13"/>
  <c r="N77" i="13"/>
  <c r="O77" i="13" s="1"/>
  <c r="O70" i="11"/>
  <c r="N69" i="11"/>
  <c r="O69" i="11" s="1"/>
  <c r="O81" i="11"/>
  <c r="N77" i="11"/>
  <c r="O77" i="11" s="1"/>
  <c r="O37" i="9"/>
  <c r="N69" i="9"/>
  <c r="O69" i="9" s="1"/>
  <c r="O70" i="9"/>
  <c r="O81" i="9"/>
  <c r="N77" i="9"/>
  <c r="O77" i="9" s="1"/>
  <c r="N99" i="6"/>
  <c r="O99" i="6" s="1"/>
  <c r="N99" i="5"/>
  <c r="O99" i="5" s="1"/>
  <c r="O81" i="2"/>
  <c r="N77" i="2"/>
  <c r="N99" i="8" l="1"/>
  <c r="O99" i="8" s="1"/>
  <c r="N99" i="10"/>
  <c r="O99" i="10" s="1"/>
  <c r="N99" i="12"/>
  <c r="O99" i="12" s="1"/>
  <c r="N99" i="3"/>
  <c r="O99" i="3" s="1"/>
  <c r="N99" i="7"/>
  <c r="O99" i="7" s="1"/>
  <c r="O37" i="14"/>
  <c r="O69" i="13"/>
  <c r="N99" i="13"/>
  <c r="O99" i="13" s="1"/>
  <c r="N99" i="11"/>
  <c r="O99" i="11" s="1"/>
  <c r="N99" i="9"/>
  <c r="O99" i="9" s="1"/>
  <c r="O77" i="2"/>
  <c r="N99" i="2"/>
  <c r="O99" i="2" s="1"/>
  <c r="N97" i="1" l="1"/>
  <c r="K97" i="1"/>
  <c r="L95" i="1"/>
  <c r="K96" i="1"/>
  <c r="N94" i="1"/>
  <c r="K94" i="1"/>
  <c r="N93" i="1"/>
  <c r="K93" i="1"/>
  <c r="L92" i="1"/>
  <c r="N91" i="1"/>
  <c r="K91" i="1"/>
  <c r="N90" i="1"/>
  <c r="K90" i="1"/>
  <c r="K89" i="1" s="1"/>
  <c r="L89" i="1"/>
  <c r="N88" i="1"/>
  <c r="K88" i="1"/>
  <c r="K86" i="1" s="1"/>
  <c r="N87" i="1"/>
  <c r="K87" i="1"/>
  <c r="L86" i="1"/>
  <c r="L83" i="1"/>
  <c r="L83" i="14" s="1"/>
  <c r="N83" i="14" s="1"/>
  <c r="O83" i="14" s="1"/>
  <c r="K83" i="1"/>
  <c r="L82" i="1"/>
  <c r="L82" i="14" s="1"/>
  <c r="K82" i="1"/>
  <c r="L80" i="1"/>
  <c r="K80" i="1"/>
  <c r="L79" i="1"/>
  <c r="K79" i="1"/>
  <c r="K78" i="1"/>
  <c r="L75" i="1"/>
  <c r="K75" i="1"/>
  <c r="L74" i="1"/>
  <c r="L73" i="1" s="1"/>
  <c r="K74" i="1"/>
  <c r="L72" i="1"/>
  <c r="L72" i="14" s="1"/>
  <c r="N72" i="14" s="1"/>
  <c r="O72" i="14" s="1"/>
  <c r="K72" i="1"/>
  <c r="L71" i="1"/>
  <c r="L71" i="14" s="1"/>
  <c r="K71" i="1"/>
  <c r="K70" i="1" s="1"/>
  <c r="N67" i="1"/>
  <c r="K67" i="1"/>
  <c r="N66" i="1"/>
  <c r="K66" i="1"/>
  <c r="L65" i="1"/>
  <c r="N63" i="1"/>
  <c r="K63" i="1"/>
  <c r="N62" i="1"/>
  <c r="K62" i="1"/>
  <c r="L61" i="1"/>
  <c r="N60" i="1"/>
  <c r="K60" i="1"/>
  <c r="N59" i="1"/>
  <c r="K59" i="1"/>
  <c r="L58" i="1"/>
  <c r="N55" i="1"/>
  <c r="K55" i="1"/>
  <c r="N54" i="1"/>
  <c r="K54" i="1"/>
  <c r="L53" i="1"/>
  <c r="N51" i="1"/>
  <c r="K51" i="1"/>
  <c r="N50" i="1"/>
  <c r="K50" i="1"/>
  <c r="L49" i="1"/>
  <c r="N47" i="1"/>
  <c r="K47" i="1"/>
  <c r="N46" i="1"/>
  <c r="K46" i="1"/>
  <c r="L45" i="1"/>
  <c r="N43" i="1"/>
  <c r="K43" i="1"/>
  <c r="N42" i="1"/>
  <c r="K42" i="1"/>
  <c r="L41" i="1"/>
  <c r="N40" i="1"/>
  <c r="K40" i="1"/>
  <c r="N39" i="1"/>
  <c r="K39" i="1"/>
  <c r="L38" i="1"/>
  <c r="N35" i="1"/>
  <c r="K35" i="1"/>
  <c r="N33" i="1"/>
  <c r="K33" i="1"/>
  <c r="N32" i="1"/>
  <c r="K32" i="1"/>
  <c r="N31" i="1"/>
  <c r="K31" i="1"/>
  <c r="N30" i="1"/>
  <c r="K30" i="1"/>
  <c r="N29" i="1"/>
  <c r="K29" i="1"/>
  <c r="N28" i="1"/>
  <c r="K28" i="1"/>
  <c r="N27" i="1"/>
  <c r="K27" i="1"/>
  <c r="N26" i="1"/>
  <c r="K26" i="1"/>
  <c r="N25" i="1"/>
  <c r="K25" i="1"/>
  <c r="L24" i="1"/>
  <c r="N22" i="1"/>
  <c r="K22" i="1"/>
  <c r="N21" i="1"/>
  <c r="K21" i="1"/>
  <c r="N20" i="1"/>
  <c r="K20" i="1"/>
  <c r="N19" i="1"/>
  <c r="K19" i="1"/>
  <c r="N18" i="1"/>
  <c r="K18" i="1"/>
  <c r="N17" i="1"/>
  <c r="K17" i="1"/>
  <c r="N16" i="1"/>
  <c r="K16" i="1"/>
  <c r="N15" i="1"/>
  <c r="K15" i="1"/>
  <c r="N14" i="1"/>
  <c r="K14" i="1"/>
  <c r="L13" i="1"/>
  <c r="I99" i="1"/>
  <c r="K65" i="1" l="1"/>
  <c r="K73" i="1"/>
  <c r="K58" i="1"/>
  <c r="L78" i="1"/>
  <c r="K81" i="1"/>
  <c r="K53" i="1"/>
  <c r="K45" i="1"/>
  <c r="K77" i="1"/>
  <c r="K41" i="1"/>
  <c r="K69" i="1"/>
  <c r="K49" i="1"/>
  <c r="K61" i="1"/>
  <c r="K57" i="1" s="1"/>
  <c r="O91" i="1"/>
  <c r="K95" i="1"/>
  <c r="K38" i="1"/>
  <c r="O87" i="1"/>
  <c r="N53" i="1"/>
  <c r="N45" i="1"/>
  <c r="N65" i="1"/>
  <c r="O65" i="1" s="1"/>
  <c r="K92" i="1"/>
  <c r="O97" i="1"/>
  <c r="O55" i="1"/>
  <c r="O40" i="1"/>
  <c r="O39" i="1"/>
  <c r="O35" i="1"/>
  <c r="O26" i="1"/>
  <c r="O30" i="1"/>
  <c r="K24" i="1"/>
  <c r="O29" i="1"/>
  <c r="O15" i="1"/>
  <c r="O17" i="1"/>
  <c r="O19" i="1"/>
  <c r="O21" i="1"/>
  <c r="K13" i="1"/>
  <c r="N75" i="1"/>
  <c r="O75" i="1" s="1"/>
  <c r="L75" i="14"/>
  <c r="N75" i="14" s="1"/>
  <c r="O75" i="14" s="1"/>
  <c r="N80" i="1"/>
  <c r="O80" i="1" s="1"/>
  <c r="L80" i="14"/>
  <c r="N80" i="14" s="1"/>
  <c r="O80" i="14" s="1"/>
  <c r="N72" i="1"/>
  <c r="O72" i="1" s="1"/>
  <c r="N71" i="1"/>
  <c r="N79" i="1"/>
  <c r="O79" i="1" s="1"/>
  <c r="L79" i="14"/>
  <c r="L81" i="14"/>
  <c r="N82" i="14"/>
  <c r="N83" i="1"/>
  <c r="O83" i="1" s="1"/>
  <c r="L70" i="14"/>
  <c r="N71" i="14"/>
  <c r="L70" i="1"/>
  <c r="L69" i="1" s="1"/>
  <c r="N74" i="1"/>
  <c r="O74" i="1" s="1"/>
  <c r="L74" i="14"/>
  <c r="L81" i="1"/>
  <c r="N82" i="1"/>
  <c r="N38" i="1"/>
  <c r="N92" i="1"/>
  <c r="N86" i="1"/>
  <c r="O86" i="1" s="1"/>
  <c r="N58" i="1"/>
  <c r="O58" i="1" s="1"/>
  <c r="L37" i="1"/>
  <c r="L85" i="1"/>
  <c r="L57" i="1"/>
  <c r="O94" i="1"/>
  <c r="O88" i="1"/>
  <c r="O93" i="1"/>
  <c r="O63" i="1"/>
  <c r="O67" i="1"/>
  <c r="O54" i="1"/>
  <c r="O60" i="1"/>
  <c r="O66" i="1"/>
  <c r="O59" i="1"/>
  <c r="O51" i="1"/>
  <c r="O47" i="1"/>
  <c r="O46" i="1"/>
  <c r="O16" i="1"/>
  <c r="O18" i="1"/>
  <c r="O20" i="1"/>
  <c r="O22" i="1"/>
  <c r="O28" i="1"/>
  <c r="O32" i="1"/>
  <c r="O43" i="1"/>
  <c r="O27" i="1"/>
  <c r="O31" i="1"/>
  <c r="O25" i="1"/>
  <c r="N24" i="1"/>
  <c r="N41" i="1"/>
  <c r="O41" i="1" s="1"/>
  <c r="O42" i="1"/>
  <c r="N89" i="1"/>
  <c r="O89" i="1" s="1"/>
  <c r="O90" i="1"/>
  <c r="O50" i="1"/>
  <c r="N49" i="1"/>
  <c r="O62" i="1"/>
  <c r="N61" i="1"/>
  <c r="O14" i="1"/>
  <c r="N13" i="1"/>
  <c r="N96" i="1"/>
  <c r="O38" i="1" l="1"/>
  <c r="O61" i="1"/>
  <c r="L77" i="1"/>
  <c r="L99" i="1" s="1"/>
  <c r="O45" i="1"/>
  <c r="O53" i="1"/>
  <c r="O24" i="1"/>
  <c r="K85" i="1"/>
  <c r="O49" i="1"/>
  <c r="K37" i="1"/>
  <c r="K99" i="1" s="1"/>
  <c r="N78" i="1"/>
  <c r="O78" i="1" s="1"/>
  <c r="N73" i="1"/>
  <c r="O73" i="1" s="1"/>
  <c r="O92" i="1"/>
  <c r="O82" i="14"/>
  <c r="N81" i="14"/>
  <c r="O81" i="14" s="1"/>
  <c r="O71" i="1"/>
  <c r="N70" i="1"/>
  <c r="N70" i="14"/>
  <c r="O71" i="14"/>
  <c r="N74" i="14"/>
  <c r="L73" i="14"/>
  <c r="L69" i="14" s="1"/>
  <c r="O82" i="1"/>
  <c r="N81" i="1"/>
  <c r="O81" i="1" s="1"/>
  <c r="L78" i="14"/>
  <c r="L77" i="14" s="1"/>
  <c r="N79" i="14"/>
  <c r="N57" i="1"/>
  <c r="O57" i="1" s="1"/>
  <c r="O13" i="1"/>
  <c r="O96" i="1"/>
  <c r="N95" i="1"/>
  <c r="N37" i="1"/>
  <c r="O37" i="1" l="1"/>
  <c r="N77" i="1"/>
  <c r="O77" i="1" s="1"/>
  <c r="L99" i="14"/>
  <c r="N69" i="1"/>
  <c r="O69" i="1" s="1"/>
  <c r="O70" i="1"/>
  <c r="O74" i="14"/>
  <c r="N73" i="14"/>
  <c r="O73" i="14" s="1"/>
  <c r="O79" i="14"/>
  <c r="N78" i="14"/>
  <c r="O70" i="14"/>
  <c r="O95" i="1"/>
  <c r="N85" i="1"/>
  <c r="O85" i="1" s="1"/>
  <c r="N69" i="14" l="1"/>
  <c r="O69" i="14" s="1"/>
  <c r="O78" i="14"/>
  <c r="N77" i="14"/>
  <c r="O77" i="14" s="1"/>
  <c r="N99" i="1"/>
  <c r="O99" i="1" s="1"/>
  <c r="N99" i="14" l="1"/>
  <c r="O99" i="14" s="1"/>
</calcChain>
</file>

<file path=xl/sharedStrings.xml><?xml version="1.0" encoding="utf-8"?>
<sst xmlns="http://schemas.openxmlformats.org/spreadsheetml/2006/main" count="1950" uniqueCount="71">
  <si>
    <t>NO</t>
  </si>
  <si>
    <t>JENIS PENERIMAAN</t>
  </si>
  <si>
    <t>DATA TARGET</t>
  </si>
  <si>
    <t>REALISASI</t>
  </si>
  <si>
    <t>PROSENTASE</t>
  </si>
  <si>
    <t>VOLUME</t>
  </si>
  <si>
    <t>TARIF</t>
  </si>
  <si>
    <t>TARGET (Rp.)</t>
  </si>
  <si>
    <t>REALISASI (Rp.)</t>
  </si>
  <si>
    <t>Pengujian untuk penerbitan Surat Izin Mengemudi (SIM) baru</t>
  </si>
  <si>
    <t>a.</t>
  </si>
  <si>
    <t>Penerbitan SIM A</t>
  </si>
  <si>
    <t>b.</t>
  </si>
  <si>
    <t>Penerbitan SIM B I</t>
  </si>
  <si>
    <t>c.</t>
  </si>
  <si>
    <t>Penerbitan SIM B II</t>
  </si>
  <si>
    <t>d.</t>
  </si>
  <si>
    <t>Penerbitan SIM C</t>
  </si>
  <si>
    <t>e.</t>
  </si>
  <si>
    <t>Penerbitan SIM C I</t>
  </si>
  <si>
    <t>f.</t>
  </si>
  <si>
    <t>Penerbitan SIM C II</t>
  </si>
  <si>
    <t>g.</t>
  </si>
  <si>
    <t>Penerbitan SIM D</t>
  </si>
  <si>
    <t>h.</t>
  </si>
  <si>
    <t>Penerbitan SIM D I</t>
  </si>
  <si>
    <t>i.</t>
  </si>
  <si>
    <t>Pembuatan SIM International</t>
  </si>
  <si>
    <t>Penerbitan Perpanjangan Surat Izin Mengemudi (SIM)</t>
  </si>
  <si>
    <t>Penerbitan SIM Internasional</t>
  </si>
  <si>
    <t>Penerbitan Surat Keterangan Uji Keterampilan Pengemudi (SKUKP)</t>
  </si>
  <si>
    <t>Penerbitan Surat Tanda Nomor Kendaraan Bermotor (STNK)</t>
  </si>
  <si>
    <t>Kendaraan Bermotor roda 2 atau roda 3</t>
  </si>
  <si>
    <t>1)</t>
  </si>
  <si>
    <t>Baru</t>
  </si>
  <si>
    <t>2)</t>
  </si>
  <si>
    <t>Perpanjangan</t>
  </si>
  <si>
    <t>Kendaraan bermotor roda 4 atau lebih</t>
  </si>
  <si>
    <t>Penerbitan Tanda Nomor Kendaraan Bermotor (TNKB)</t>
  </si>
  <si>
    <t>Kendaraan Bermotor Roda 2 atau 3</t>
  </si>
  <si>
    <t>Kendaraan Bermotor Roda 4 atau lebih</t>
  </si>
  <si>
    <t>Penerbitan Surat Tanda Coba Kendaraan Bermotor (STCK)</t>
  </si>
  <si>
    <t>Penerbitan Tanda Coba Kendaraan Bermotor (TCKB)</t>
  </si>
  <si>
    <t>Penerbitan Buku Pemilik Kendaraan Bermotor (BPKB)</t>
  </si>
  <si>
    <t>Ganti Kepemilikan</t>
  </si>
  <si>
    <t>Penerbitan Surat Mutasi Kendaraan Ke Luar Daerah</t>
  </si>
  <si>
    <t>Kendaraan Bermotor Roda 2 atau roda 3</t>
  </si>
  <si>
    <t>Penerbitan Surat Tanda Nomor Kendaraaan Bermotor Lintas Batas Negara (STNK-LBN)</t>
  </si>
  <si>
    <t>Penerbitan Tanda Nomor Kendaraaan Bermotor Lintas Batas Negara (TNKB-LBN)</t>
  </si>
  <si>
    <t>Penerbitan Nomor Register Kendaraan Bermotor (NRKB) Pilihan</t>
  </si>
  <si>
    <t>NRKB Pilihan untuk kombinasi 1 (satu) angka</t>
  </si>
  <si>
    <t>Tidak ada huruf dibelakang angka (blank)</t>
  </si>
  <si>
    <t>Ada huruf dibelakang angka</t>
  </si>
  <si>
    <t>NRKB Pilihan untuk 2 (dua) angka</t>
  </si>
  <si>
    <t>NRKB Pilihan untuk 3 (tiga) angka</t>
  </si>
  <si>
    <t>NRKB Pilihan untuk 4 (empat) angka</t>
  </si>
  <si>
    <t>TOTAL TARGET</t>
  </si>
  <si>
    <t>REALISASI TARGET PNBP T.A. 2026</t>
  </si>
  <si>
    <t>BULAN JANUARI T.A. 2026</t>
  </si>
  <si>
    <t>BULAN FEBRUARI T.A. 2026</t>
  </si>
  <si>
    <t>BULAN MARET T.A. 2026</t>
  </si>
  <si>
    <t>BULAN APRIL T.A. 2026</t>
  </si>
  <si>
    <t>BULAN MEI T.A. 2026</t>
  </si>
  <si>
    <t>BULAN JUNI T.A. 2026</t>
  </si>
  <si>
    <t>BULAN JULI T.A. 2026</t>
  </si>
  <si>
    <t>BULAN AGUSTUS T.A. 2026</t>
  </si>
  <si>
    <t>BULAN SEPTEMBER T.A. 2026</t>
  </si>
  <si>
    <t>BULAN OKTOBER T.A. 2026</t>
  </si>
  <si>
    <t>BULAN NOVEMBER T.A. 2026</t>
  </si>
  <si>
    <t>BULAN DESEMBER T.A. 2026</t>
  </si>
  <si>
    <t>REKAP BULAN JANUARI-DESEMBER T.A.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</si>
</sst>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_-;\-* #,##0_-;_-* &quot;-&quot;_-;_-@"/>
    <numFmt numFmtId="165" formatCode="_(* #,##0_);_(* \(#,##0\);_(* &quot;-&quot;??_);_(@_)"/>
    <numFmt numFmtId="166" formatCode="_-* #,##0.000_-;\-* #,##0.000_-;_-* &quot;-&quot;_-;_-@"/>
    <numFmt numFmtId="167" formatCode="_-* #,##0.00_-;\-* #,##0.00_-;_-* &quot;-&quot;_-;_-@"/>
    <numFmt numFmtId="168" formatCode="_(* #,##0.00_);_(* \(#,##0.00\);_(* &quot;-&quot;??_);_(@_)"/>
  </numFmts>
  <fonts count="1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 Narrow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0"/>
      <name val="Arial"/>
      <family val="2"/>
    </font>
    <font>
      <sz val="10"/>
      <color theme="1"/>
      <name val="Arial Narrow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theme="0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1" xfId="0" applyFont="1" applyFill="1" applyBorder="1"/>
    <xf numFmtId="10" fontId="1" fillId="2" borderId="1" xfId="0" applyNumberFormat="1" applyFont="1" applyFill="1" applyBorder="1"/>
    <xf numFmtId="0" fontId="1" fillId="2" borderId="0" xfId="0" applyFont="1" applyFill="1"/>
    <xf numFmtId="10" fontId="1" fillId="2" borderId="0" xfId="0" applyNumberFormat="1" applyFont="1" applyFill="1"/>
    <xf numFmtId="0" fontId="4" fillId="2" borderId="0" xfId="0" applyFont="1" applyFill="1"/>
    <xf numFmtId="164" fontId="1" fillId="2" borderId="0" xfId="0" applyNumberFormat="1" applyFont="1" applyFill="1"/>
    <xf numFmtId="164" fontId="4" fillId="2" borderId="0" xfId="0" applyNumberFormat="1" applyFont="1" applyFill="1"/>
    <xf numFmtId="9" fontId="4" fillId="2" borderId="0" xfId="0" applyNumberFormat="1" applyFont="1" applyFill="1"/>
    <xf numFmtId="0" fontId="4" fillId="2" borderId="0" xfId="0" applyFont="1" applyFill="1" applyAlignment="1">
      <alignment horizontal="center"/>
    </xf>
    <xf numFmtId="10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6" fillId="3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6" xfId="0" applyFont="1" applyFill="1" applyBorder="1"/>
    <xf numFmtId="0" fontId="1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164" fontId="4" fillId="4" borderId="14" xfId="0" applyNumberFormat="1" applyFont="1" applyFill="1" applyBorder="1"/>
    <xf numFmtId="165" fontId="4" fillId="4" borderId="14" xfId="0" applyNumberFormat="1" applyFont="1" applyFill="1" applyBorder="1" applyAlignment="1">
      <alignment horizontal="center"/>
    </xf>
    <xf numFmtId="165" fontId="4" fillId="4" borderId="14" xfId="0" applyNumberFormat="1" applyFont="1" applyFill="1" applyBorder="1"/>
    <xf numFmtId="10" fontId="4" fillId="4" borderId="14" xfId="0" applyNumberFormat="1" applyFont="1" applyFill="1" applyBorder="1"/>
    <xf numFmtId="0" fontId="4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0" xfId="0" applyFont="1" applyFill="1" applyBorder="1"/>
    <xf numFmtId="0" fontId="1" fillId="2" borderId="21" xfId="0" applyFont="1" applyFill="1" applyBorder="1" applyAlignment="1">
      <alignment horizontal="center"/>
    </xf>
    <xf numFmtId="164" fontId="1" fillId="2" borderId="18" xfId="0" applyNumberFormat="1" applyFont="1" applyFill="1" applyBorder="1" applyAlignment="1">
      <alignment horizontal="center"/>
    </xf>
    <xf numFmtId="165" fontId="1" fillId="2" borderId="18" xfId="0" applyNumberFormat="1" applyFont="1" applyFill="1" applyBorder="1"/>
    <xf numFmtId="10" fontId="1" fillId="2" borderId="18" xfId="0" applyNumberFormat="1" applyFont="1" applyFill="1" applyBorder="1"/>
    <xf numFmtId="166" fontId="1" fillId="2" borderId="18" xfId="0" applyNumberFormat="1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/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164" fontId="4" fillId="4" borderId="18" xfId="0" applyNumberFormat="1" applyFont="1" applyFill="1" applyBorder="1" applyAlignment="1">
      <alignment horizontal="center"/>
    </xf>
    <xf numFmtId="165" fontId="4" fillId="4" borderId="18" xfId="0" applyNumberFormat="1" applyFont="1" applyFill="1" applyBorder="1" applyAlignment="1">
      <alignment horizontal="center"/>
    </xf>
    <xf numFmtId="165" fontId="4" fillId="4" borderId="18" xfId="0" applyNumberFormat="1" applyFont="1" applyFill="1" applyBorder="1"/>
    <xf numFmtId="10" fontId="4" fillId="4" borderId="18" xfId="0" applyNumberFormat="1" applyFont="1" applyFill="1" applyBorder="1"/>
    <xf numFmtId="164" fontId="1" fillId="2" borderId="18" xfId="0" applyNumberFormat="1" applyFont="1" applyFill="1" applyBorder="1"/>
    <xf numFmtId="0" fontId="1" fillId="2" borderId="18" xfId="0" applyFont="1" applyFill="1" applyBorder="1"/>
    <xf numFmtId="0" fontId="4" fillId="4" borderId="20" xfId="0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/>
    <xf numFmtId="167" fontId="1" fillId="2" borderId="18" xfId="0" applyNumberFormat="1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164" fontId="4" fillId="2" borderId="18" xfId="0" applyNumberFormat="1" applyFont="1" applyFill="1" applyBorder="1" applyAlignment="1">
      <alignment horizontal="center"/>
    </xf>
    <xf numFmtId="165" fontId="4" fillId="2" borderId="18" xfId="0" applyNumberFormat="1" applyFont="1" applyFill="1" applyBorder="1" applyAlignment="1">
      <alignment horizontal="center"/>
    </xf>
    <xf numFmtId="165" fontId="4" fillId="2" borderId="18" xfId="0" applyNumberFormat="1" applyFont="1" applyFill="1" applyBorder="1"/>
    <xf numFmtId="0" fontId="4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4" xfId="0" applyFont="1" applyFill="1" applyBorder="1"/>
    <xf numFmtId="0" fontId="1" fillId="2" borderId="25" xfId="0" applyFont="1" applyFill="1" applyBorder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165" fontId="4" fillId="2" borderId="22" xfId="0" applyNumberFormat="1" applyFont="1" applyFill="1" applyBorder="1" applyAlignment="1">
      <alignment horizontal="center"/>
    </xf>
    <xf numFmtId="0" fontId="1" fillId="2" borderId="22" xfId="0" applyFont="1" applyFill="1" applyBorder="1"/>
    <xf numFmtId="10" fontId="1" fillId="2" borderId="22" xfId="0" applyNumberFormat="1" applyFont="1" applyFill="1" applyBorder="1"/>
    <xf numFmtId="0" fontId="4" fillId="4" borderId="26" xfId="0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0" fontId="4" fillId="4" borderId="28" xfId="0" applyFont="1" applyFill="1" applyBorder="1"/>
    <xf numFmtId="0" fontId="1" fillId="4" borderId="28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164" fontId="4" fillId="4" borderId="26" xfId="0" applyNumberFormat="1" applyFont="1" applyFill="1" applyBorder="1" applyAlignment="1">
      <alignment horizontal="center"/>
    </xf>
    <xf numFmtId="165" fontId="4" fillId="4" borderId="26" xfId="0" applyNumberFormat="1" applyFont="1" applyFill="1" applyBorder="1" applyAlignment="1">
      <alignment horizontal="center"/>
    </xf>
    <xf numFmtId="10" fontId="4" fillId="4" borderId="26" xfId="0" applyNumberFormat="1" applyFont="1" applyFill="1" applyBorder="1"/>
    <xf numFmtId="165" fontId="1" fillId="2" borderId="22" xfId="0" applyNumberFormat="1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/>
    <xf numFmtId="0" fontId="1" fillId="2" borderId="21" xfId="0" applyFont="1" applyFill="1" applyBorder="1"/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167" fontId="1" fillId="2" borderId="30" xfId="0" applyNumberFormat="1" applyFont="1" applyFill="1" applyBorder="1" applyAlignment="1">
      <alignment horizontal="center"/>
    </xf>
    <xf numFmtId="165" fontId="1" fillId="2" borderId="30" xfId="0" applyNumberFormat="1" applyFont="1" applyFill="1" applyBorder="1"/>
    <xf numFmtId="0" fontId="1" fillId="2" borderId="30" xfId="0" applyFont="1" applyFill="1" applyBorder="1"/>
    <xf numFmtId="10" fontId="1" fillId="2" borderId="30" xfId="0" applyNumberFormat="1" applyFont="1" applyFill="1" applyBorder="1"/>
    <xf numFmtId="0" fontId="4" fillId="5" borderId="13" xfId="0" applyFont="1" applyFill="1" applyBorder="1" applyAlignment="1">
      <alignment horizontal="center"/>
    </xf>
    <xf numFmtId="165" fontId="4" fillId="5" borderId="13" xfId="0" applyNumberFormat="1" applyFont="1" applyFill="1" applyBorder="1"/>
    <xf numFmtId="10" fontId="4" fillId="5" borderId="13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168" fontId="4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0" fontId="4" fillId="0" borderId="0" xfId="0" applyFont="1"/>
    <xf numFmtId="0" fontId="8" fillId="0" borderId="0" xfId="0" applyFont="1"/>
    <xf numFmtId="164" fontId="1" fillId="6" borderId="18" xfId="0" applyNumberFormat="1" applyFont="1" applyFill="1" applyBorder="1" applyAlignment="1">
      <alignment horizontal="center"/>
    </xf>
    <xf numFmtId="165" fontId="1" fillId="2" borderId="19" xfId="0" applyNumberFormat="1" applyFont="1" applyFill="1" applyBorder="1"/>
    <xf numFmtId="165" fontId="1" fillId="2" borderId="21" xfId="0" applyNumberFormat="1" applyFont="1" applyFill="1" applyBorder="1"/>
    <xf numFmtId="164" fontId="4" fillId="4" borderId="35" xfId="0" applyNumberFormat="1" applyFont="1" applyFill="1" applyBorder="1"/>
    <xf numFmtId="164" fontId="4" fillId="4" borderId="14" xfId="0" applyNumberFormat="1" applyFont="1" applyFill="1" applyBorder="1" applyAlignment="1">
      <alignment horizontal="center"/>
    </xf>
    <xf numFmtId="3" fontId="1" fillId="7" borderId="34" xfId="0" applyNumberFormat="1" applyFont="1" applyFill="1" applyBorder="1" applyAlignment="1">
      <alignment horizontal="right" wrapText="1"/>
    </xf>
    <xf numFmtId="0" fontId="1" fillId="7" borderId="34" xfId="0" applyFont="1" applyFill="1" applyBorder="1" applyAlignment="1">
      <alignment horizontal="right" wrapText="1"/>
    </xf>
    <xf numFmtId="164" fontId="1" fillId="2" borderId="34" xfId="0" applyNumberFormat="1" applyFont="1" applyFill="1" applyBorder="1" applyAlignment="1">
      <alignment horizontal="right"/>
    </xf>
    <xf numFmtId="166" fontId="1" fillId="2" borderId="34" xfId="0" applyNumberFormat="1" applyFont="1" applyFill="1" applyBorder="1" applyAlignment="1">
      <alignment horizontal="right"/>
    </xf>
    <xf numFmtId="0" fontId="9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4" fillId="5" borderId="6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6" fillId="3" borderId="2" xfId="0" applyFont="1" applyFill="1" applyBorder="1" applyAlignment="1">
      <alignment horizontal="center" vertical="center"/>
    </xf>
    <xf numFmtId="0" fontId="3" fillId="0" borderId="9" xfId="0" applyFont="1" applyBorder="1"/>
    <xf numFmtId="0" fontId="6" fillId="3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6" fillId="3" borderId="6" xfId="0" applyFont="1" applyFill="1" applyBorder="1" applyAlignment="1">
      <alignment horizontal="center"/>
    </xf>
    <xf numFmtId="9" fontId="6" fillId="3" borderId="2" xfId="0" applyNumberFormat="1" applyFont="1" applyFill="1" applyBorder="1" applyAlignment="1">
      <alignment horizontal="center" vertical="center"/>
    </xf>
    <xf numFmtId="0" fontId="10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384175</xdr:colOff>
      <xdr:row>0</xdr:row>
      <xdr:rowOff>171450</xdr:rowOff>
    </xdr:from>
    <xdr:ext cx="4086225" cy="704850"/>
    <xdr:grpSp>
      <xdr:nvGrpSpPr>
        <xdr:cNvPr id="2" name="Shape 2">
          <a:extLst>
            <a:ext uri="{FF2B5EF4-FFF2-40B4-BE49-F238E27FC236}">
              <a16:creationId xmlns:a16="http://schemas.microsoft.com/office/drawing/2014/main" id="{7A80BF7A-0A36-4C59-8DFE-98323BD5CA48}"/>
            </a:ext>
          </a:extLst>
        </xdr:cNvPr>
        <xdr:cNvGrpSpPr/>
      </xdr:nvGrpSpPr>
      <xdr:grpSpPr>
        <a:xfrm>
          <a:off x="384175" y="171450"/>
          <a:ext cx="4086225" cy="704850"/>
          <a:chOff x="3302888" y="3427575"/>
          <a:chExt cx="4086225" cy="704850"/>
        </a:xfrm>
      </xdr:grpSpPr>
      <xdr:grpSp>
        <xdr:nvGrpSpPr>
          <xdr:cNvPr id="3" name="Shape 644">
            <a:extLst>
              <a:ext uri="{FF2B5EF4-FFF2-40B4-BE49-F238E27FC236}">
                <a16:creationId xmlns:a16="http://schemas.microsoft.com/office/drawing/2014/main" id="{A5714872-F8D5-223C-3750-260BAC34C79D}"/>
              </a:ext>
            </a:extLst>
          </xdr:cNvPr>
          <xdr:cNvGrpSpPr/>
        </xdr:nvGrpSpPr>
        <xdr:grpSpPr>
          <a:xfrm>
            <a:off x="3302888" y="3427575"/>
            <a:ext cx="4086225" cy="704850"/>
            <a:chOff x="250031" y="173831"/>
            <a:chExt cx="3771900" cy="695325"/>
          </a:xfrm>
        </xdr:grpSpPr>
        <xdr:sp macro="" textlink="">
          <xdr:nvSpPr>
            <xdr:cNvPr id="4" name="Shape 19">
              <a:extLst>
                <a:ext uri="{FF2B5EF4-FFF2-40B4-BE49-F238E27FC236}">
                  <a16:creationId xmlns:a16="http://schemas.microsoft.com/office/drawing/2014/main" id="{62164DE4-4422-FE72-F2D6-50E754F4060C}"/>
                </a:ext>
              </a:extLst>
            </xdr:cNvPr>
            <xdr:cNvSpPr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45">
              <a:extLst>
                <a:ext uri="{FF2B5EF4-FFF2-40B4-BE49-F238E27FC236}">
                  <a16:creationId xmlns:a16="http://schemas.microsoft.com/office/drawing/2014/main" id="{EB2D32BB-CAD1-1DB7-7207-F8F971EFA847}"/>
                </a:ext>
              </a:extLst>
            </xdr:cNvPr>
            <xdr:cNvSpPr txBox="1"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KEPOLISIAN NEGARA REPUBLIK INDONESIA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DAERAH JAWA TIMUR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DIREKTORAT LALU LINTAS</a:t>
              </a:r>
              <a:endParaRPr sz="1200" b="1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cxnSp macro="">
          <xdr:nvCxnSpPr>
            <xdr:cNvPr id="6" name="Shape 646">
              <a:extLst>
                <a:ext uri="{FF2B5EF4-FFF2-40B4-BE49-F238E27FC236}">
                  <a16:creationId xmlns:a16="http://schemas.microsoft.com/office/drawing/2014/main" id="{8DEB3C34-1AEC-319E-801F-71FB8E92A580}"/>
                </a:ext>
              </a:extLst>
            </xdr:cNvPr>
            <xdr:cNvCxnSpPr/>
          </xdr:nvCxnSpPr>
          <xdr:spPr>
            <a:xfrm>
              <a:off x="452437" y="785812"/>
              <a:ext cx="329803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384175</xdr:colOff>
      <xdr:row>0</xdr:row>
      <xdr:rowOff>171450</xdr:rowOff>
    </xdr:from>
    <xdr:ext cx="4086225" cy="704850"/>
    <xdr:grpSp>
      <xdr:nvGrpSpPr>
        <xdr:cNvPr id="7" name="Shape 2">
          <a:extLst>
            <a:ext uri="{FF2B5EF4-FFF2-40B4-BE49-F238E27FC236}">
              <a16:creationId xmlns:a16="http://schemas.microsoft.com/office/drawing/2014/main" id="{52A27C6D-2704-4C5C-834A-C7E780CFBEA9}"/>
            </a:ext>
          </a:extLst>
        </xdr:cNvPr>
        <xdr:cNvGrpSpPr/>
      </xdr:nvGrpSpPr>
      <xdr:grpSpPr>
        <a:xfrm>
          <a:off x="384175" y="171450"/>
          <a:ext cx="4086225" cy="704850"/>
          <a:chOff x="3302888" y="3427575"/>
          <a:chExt cx="4086225" cy="704850"/>
        </a:xfrm>
      </xdr:grpSpPr>
      <xdr:grpSp>
        <xdr:nvGrpSpPr>
          <xdr:cNvPr id="8" name="Shape 644">
            <a:extLst>
              <a:ext uri="{FF2B5EF4-FFF2-40B4-BE49-F238E27FC236}">
                <a16:creationId xmlns:a16="http://schemas.microsoft.com/office/drawing/2014/main" id="{6B0ECF17-4FD6-5C08-1101-DF951F1D19D4}"/>
              </a:ext>
            </a:extLst>
          </xdr:cNvPr>
          <xdr:cNvGrpSpPr/>
        </xdr:nvGrpSpPr>
        <xdr:grpSpPr>
          <a:xfrm>
            <a:off x="3302888" y="3427575"/>
            <a:ext cx="4086225" cy="704850"/>
            <a:chOff x="250031" y="173831"/>
            <a:chExt cx="3771900" cy="695325"/>
          </a:xfrm>
        </xdr:grpSpPr>
        <xdr:sp macro="" textlink="">
          <xdr:nvSpPr>
            <xdr:cNvPr id="9" name="Shape 19">
              <a:extLst>
                <a:ext uri="{FF2B5EF4-FFF2-40B4-BE49-F238E27FC236}">
                  <a16:creationId xmlns:a16="http://schemas.microsoft.com/office/drawing/2014/main" id="{ED49A7FB-A1A8-63B4-AA28-2EB78BF5D1B0}"/>
                </a:ext>
              </a:extLst>
            </xdr:cNvPr>
            <xdr:cNvSpPr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" name="Shape 645">
              <a:extLst>
                <a:ext uri="{FF2B5EF4-FFF2-40B4-BE49-F238E27FC236}">
                  <a16:creationId xmlns:a16="http://schemas.microsoft.com/office/drawing/2014/main" id="{B12FA85D-CC08-DF0E-BD3B-4F28A9E9E710}"/>
                </a:ext>
              </a:extLst>
            </xdr:cNvPr>
            <xdr:cNvSpPr txBox="1"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KEPOLISIAN NEGARA REPUBLIK INDONESIA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DAERAH JAWA TIMUR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DIREKTORAT LALU LINTAS</a:t>
              </a:r>
              <a:endParaRPr sz="1200" b="1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cxnSp macro="">
          <xdr:nvCxnSpPr>
            <xdr:cNvPr id="11" name="Shape 646">
              <a:extLst>
                <a:ext uri="{FF2B5EF4-FFF2-40B4-BE49-F238E27FC236}">
                  <a16:creationId xmlns:a16="http://schemas.microsoft.com/office/drawing/2014/main" id="{AF70B6AA-AED1-196A-7BE1-681A6BF0B12F}"/>
                </a:ext>
              </a:extLst>
            </xdr:cNvPr>
            <xdr:cNvCxnSpPr/>
          </xdr:nvCxnSpPr>
          <xdr:spPr>
            <a:xfrm>
              <a:off x="452437" y="785812"/>
              <a:ext cx="329803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384175</xdr:colOff>
      <xdr:row>0</xdr:row>
      <xdr:rowOff>171450</xdr:rowOff>
    </xdr:from>
    <xdr:ext cx="4086225" cy="704850"/>
    <xdr:grpSp>
      <xdr:nvGrpSpPr>
        <xdr:cNvPr id="2" name="Shape 2">
          <a:extLst>
            <a:ext uri="{FF2B5EF4-FFF2-40B4-BE49-F238E27FC236}">
              <a16:creationId xmlns:a16="http://schemas.microsoft.com/office/drawing/2014/main" id="{2C827D90-0FD9-43F7-93BC-C9BAFF01E2BA}"/>
            </a:ext>
          </a:extLst>
        </xdr:cNvPr>
        <xdr:cNvGrpSpPr/>
      </xdr:nvGrpSpPr>
      <xdr:grpSpPr>
        <a:xfrm>
          <a:off x="384175" y="171450"/>
          <a:ext cx="4086225" cy="704850"/>
          <a:chOff x="3302888" y="3427575"/>
          <a:chExt cx="4086225" cy="704850"/>
        </a:xfrm>
      </xdr:grpSpPr>
      <xdr:grpSp>
        <xdr:nvGrpSpPr>
          <xdr:cNvPr id="3" name="Shape 644">
            <a:extLst>
              <a:ext uri="{FF2B5EF4-FFF2-40B4-BE49-F238E27FC236}">
                <a16:creationId xmlns:a16="http://schemas.microsoft.com/office/drawing/2014/main" id="{C018148A-3C83-16C7-B576-2CFCE09269DD}"/>
              </a:ext>
            </a:extLst>
          </xdr:cNvPr>
          <xdr:cNvGrpSpPr/>
        </xdr:nvGrpSpPr>
        <xdr:grpSpPr>
          <a:xfrm>
            <a:off x="3302888" y="3427575"/>
            <a:ext cx="4086225" cy="704850"/>
            <a:chOff x="250031" y="173831"/>
            <a:chExt cx="3771900" cy="695325"/>
          </a:xfrm>
        </xdr:grpSpPr>
        <xdr:sp macro="" textlink="">
          <xdr:nvSpPr>
            <xdr:cNvPr id="4" name="Shape 19">
              <a:extLst>
                <a:ext uri="{FF2B5EF4-FFF2-40B4-BE49-F238E27FC236}">
                  <a16:creationId xmlns:a16="http://schemas.microsoft.com/office/drawing/2014/main" id="{EF8860FB-C5ED-BCDF-7591-99E71F2226AE}"/>
                </a:ext>
              </a:extLst>
            </xdr:cNvPr>
            <xdr:cNvSpPr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45">
              <a:extLst>
                <a:ext uri="{FF2B5EF4-FFF2-40B4-BE49-F238E27FC236}">
                  <a16:creationId xmlns:a16="http://schemas.microsoft.com/office/drawing/2014/main" id="{215E6047-F653-F0F8-C33C-200D030B4EF8}"/>
                </a:ext>
              </a:extLst>
            </xdr:cNvPr>
            <xdr:cNvSpPr txBox="1"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KEPOLISIAN NEGARA REPUBLIK INDONESIA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DAERAH JAWA TIMUR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DIREKTORAT LALU LINTAS</a:t>
              </a:r>
              <a:endParaRPr sz="1200" b="1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cxnSp macro="">
          <xdr:nvCxnSpPr>
            <xdr:cNvPr id="6" name="Shape 646">
              <a:extLst>
                <a:ext uri="{FF2B5EF4-FFF2-40B4-BE49-F238E27FC236}">
                  <a16:creationId xmlns:a16="http://schemas.microsoft.com/office/drawing/2014/main" id="{D4E8537C-C390-BE56-A7F4-86E248411C4D}"/>
                </a:ext>
              </a:extLst>
            </xdr:cNvPr>
            <xdr:cNvCxnSpPr/>
          </xdr:nvCxnSpPr>
          <xdr:spPr>
            <a:xfrm>
              <a:off x="452437" y="785812"/>
              <a:ext cx="329803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384175</xdr:colOff>
      <xdr:row>0</xdr:row>
      <xdr:rowOff>171450</xdr:rowOff>
    </xdr:from>
    <xdr:ext cx="4086225" cy="704850"/>
    <xdr:grpSp>
      <xdr:nvGrpSpPr>
        <xdr:cNvPr id="2" name="Shape 2">
          <a:extLst>
            <a:ext uri="{FF2B5EF4-FFF2-40B4-BE49-F238E27FC236}">
              <a16:creationId xmlns:a16="http://schemas.microsoft.com/office/drawing/2014/main" id="{6E730A2E-E825-47C7-A02F-FD73AE06BB00}"/>
            </a:ext>
          </a:extLst>
        </xdr:cNvPr>
        <xdr:cNvGrpSpPr/>
      </xdr:nvGrpSpPr>
      <xdr:grpSpPr>
        <a:xfrm>
          <a:off x="384175" y="171450"/>
          <a:ext cx="4086225" cy="704850"/>
          <a:chOff x="3302888" y="3427575"/>
          <a:chExt cx="4086225" cy="704850"/>
        </a:xfrm>
      </xdr:grpSpPr>
      <xdr:grpSp>
        <xdr:nvGrpSpPr>
          <xdr:cNvPr id="3" name="Shape 644">
            <a:extLst>
              <a:ext uri="{FF2B5EF4-FFF2-40B4-BE49-F238E27FC236}">
                <a16:creationId xmlns:a16="http://schemas.microsoft.com/office/drawing/2014/main" id="{0F1E825A-E9A1-86B7-1B06-03752085A7CF}"/>
              </a:ext>
            </a:extLst>
          </xdr:cNvPr>
          <xdr:cNvGrpSpPr/>
        </xdr:nvGrpSpPr>
        <xdr:grpSpPr>
          <a:xfrm>
            <a:off x="3302888" y="3427575"/>
            <a:ext cx="4086225" cy="704850"/>
            <a:chOff x="250031" y="173831"/>
            <a:chExt cx="3771900" cy="695325"/>
          </a:xfrm>
        </xdr:grpSpPr>
        <xdr:sp macro="" textlink="">
          <xdr:nvSpPr>
            <xdr:cNvPr id="4" name="Shape 19">
              <a:extLst>
                <a:ext uri="{FF2B5EF4-FFF2-40B4-BE49-F238E27FC236}">
                  <a16:creationId xmlns:a16="http://schemas.microsoft.com/office/drawing/2014/main" id="{8EE1AB26-07FC-267C-8A81-E6EEDFDE189A}"/>
                </a:ext>
              </a:extLst>
            </xdr:cNvPr>
            <xdr:cNvSpPr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45">
              <a:extLst>
                <a:ext uri="{FF2B5EF4-FFF2-40B4-BE49-F238E27FC236}">
                  <a16:creationId xmlns:a16="http://schemas.microsoft.com/office/drawing/2014/main" id="{3E2F9878-28E9-45C0-F1CE-0467E68D7546}"/>
                </a:ext>
              </a:extLst>
            </xdr:cNvPr>
            <xdr:cNvSpPr txBox="1"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KEPOLISIAN NEGARA REPUBLIK INDONESIA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DAERAH JAWA TIMUR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DIREKTORAT LALU LINTAS</a:t>
              </a:r>
              <a:endParaRPr sz="1200" b="1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cxnSp macro="">
          <xdr:nvCxnSpPr>
            <xdr:cNvPr id="6" name="Shape 646">
              <a:extLst>
                <a:ext uri="{FF2B5EF4-FFF2-40B4-BE49-F238E27FC236}">
                  <a16:creationId xmlns:a16="http://schemas.microsoft.com/office/drawing/2014/main" id="{90BA095C-A29B-AB5F-DB42-0B0EA6FD7281}"/>
                </a:ext>
              </a:extLst>
            </xdr:cNvPr>
            <xdr:cNvCxnSpPr/>
          </xdr:nvCxnSpPr>
          <xdr:spPr>
            <a:xfrm>
              <a:off x="452437" y="785812"/>
              <a:ext cx="329803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384175</xdr:colOff>
      <xdr:row>0</xdr:row>
      <xdr:rowOff>171450</xdr:rowOff>
    </xdr:from>
    <xdr:ext cx="4086225" cy="704850"/>
    <xdr:grpSp>
      <xdr:nvGrpSpPr>
        <xdr:cNvPr id="2" name="Shape 2">
          <a:extLst>
            <a:ext uri="{FF2B5EF4-FFF2-40B4-BE49-F238E27FC236}">
              <a16:creationId xmlns:a16="http://schemas.microsoft.com/office/drawing/2014/main" id="{AADE89C9-BB6B-4CD3-A532-B880C460DEB3}"/>
            </a:ext>
          </a:extLst>
        </xdr:cNvPr>
        <xdr:cNvGrpSpPr/>
      </xdr:nvGrpSpPr>
      <xdr:grpSpPr>
        <a:xfrm>
          <a:off x="384175" y="171450"/>
          <a:ext cx="4086225" cy="704850"/>
          <a:chOff x="3302888" y="3427575"/>
          <a:chExt cx="4086225" cy="704850"/>
        </a:xfrm>
      </xdr:grpSpPr>
      <xdr:grpSp>
        <xdr:nvGrpSpPr>
          <xdr:cNvPr id="3" name="Shape 644">
            <a:extLst>
              <a:ext uri="{FF2B5EF4-FFF2-40B4-BE49-F238E27FC236}">
                <a16:creationId xmlns:a16="http://schemas.microsoft.com/office/drawing/2014/main" id="{B3DEE68B-F983-DB6F-98CE-52938AB41762}"/>
              </a:ext>
            </a:extLst>
          </xdr:cNvPr>
          <xdr:cNvGrpSpPr/>
        </xdr:nvGrpSpPr>
        <xdr:grpSpPr>
          <a:xfrm>
            <a:off x="3302888" y="3427575"/>
            <a:ext cx="4086225" cy="704850"/>
            <a:chOff x="250031" y="173831"/>
            <a:chExt cx="3771900" cy="695325"/>
          </a:xfrm>
        </xdr:grpSpPr>
        <xdr:sp macro="" textlink="">
          <xdr:nvSpPr>
            <xdr:cNvPr id="4" name="Shape 19">
              <a:extLst>
                <a:ext uri="{FF2B5EF4-FFF2-40B4-BE49-F238E27FC236}">
                  <a16:creationId xmlns:a16="http://schemas.microsoft.com/office/drawing/2014/main" id="{FA9C2619-F95B-90F4-F0AF-A7A56D3716F3}"/>
                </a:ext>
              </a:extLst>
            </xdr:cNvPr>
            <xdr:cNvSpPr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45">
              <a:extLst>
                <a:ext uri="{FF2B5EF4-FFF2-40B4-BE49-F238E27FC236}">
                  <a16:creationId xmlns:a16="http://schemas.microsoft.com/office/drawing/2014/main" id="{8341F465-3555-9B8D-03C1-A949D7347C4C}"/>
                </a:ext>
              </a:extLst>
            </xdr:cNvPr>
            <xdr:cNvSpPr txBox="1"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KEPOLISIAN NEGARA REPUBLIK INDONESIA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DAERAH JAWA TIMUR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DIREKTORAT LALU LINTAS</a:t>
              </a:r>
              <a:endParaRPr sz="1200" b="1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cxnSp macro="">
          <xdr:nvCxnSpPr>
            <xdr:cNvPr id="6" name="Shape 646">
              <a:extLst>
                <a:ext uri="{FF2B5EF4-FFF2-40B4-BE49-F238E27FC236}">
                  <a16:creationId xmlns:a16="http://schemas.microsoft.com/office/drawing/2014/main" id="{C0EEA9A8-2CEF-3095-8142-7B3C656E856E}"/>
                </a:ext>
              </a:extLst>
            </xdr:cNvPr>
            <xdr:cNvCxnSpPr/>
          </xdr:nvCxnSpPr>
          <xdr:spPr>
            <a:xfrm>
              <a:off x="452437" y="785812"/>
              <a:ext cx="329803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384175</xdr:colOff>
      <xdr:row>0</xdr:row>
      <xdr:rowOff>171450</xdr:rowOff>
    </xdr:from>
    <xdr:ext cx="4086225" cy="704850"/>
    <xdr:grpSp>
      <xdr:nvGrpSpPr>
        <xdr:cNvPr id="2" name="Shape 2">
          <a:extLst>
            <a:ext uri="{FF2B5EF4-FFF2-40B4-BE49-F238E27FC236}">
              <a16:creationId xmlns:a16="http://schemas.microsoft.com/office/drawing/2014/main" id="{9D09607C-532B-4F3F-991D-C7B7E6621FD3}"/>
            </a:ext>
          </a:extLst>
        </xdr:cNvPr>
        <xdr:cNvGrpSpPr/>
      </xdr:nvGrpSpPr>
      <xdr:grpSpPr>
        <a:xfrm>
          <a:off x="384175" y="171450"/>
          <a:ext cx="4086225" cy="704850"/>
          <a:chOff x="3302888" y="3427575"/>
          <a:chExt cx="4086225" cy="704850"/>
        </a:xfrm>
      </xdr:grpSpPr>
      <xdr:grpSp>
        <xdr:nvGrpSpPr>
          <xdr:cNvPr id="3" name="Shape 644">
            <a:extLst>
              <a:ext uri="{FF2B5EF4-FFF2-40B4-BE49-F238E27FC236}">
                <a16:creationId xmlns:a16="http://schemas.microsoft.com/office/drawing/2014/main" id="{5D592016-9973-0E67-58B9-3D2DC3DF1546}"/>
              </a:ext>
            </a:extLst>
          </xdr:cNvPr>
          <xdr:cNvGrpSpPr/>
        </xdr:nvGrpSpPr>
        <xdr:grpSpPr>
          <a:xfrm>
            <a:off x="3302888" y="3427575"/>
            <a:ext cx="4086225" cy="704850"/>
            <a:chOff x="250031" y="173831"/>
            <a:chExt cx="3771900" cy="695325"/>
          </a:xfrm>
        </xdr:grpSpPr>
        <xdr:sp macro="" textlink="">
          <xdr:nvSpPr>
            <xdr:cNvPr id="4" name="Shape 19">
              <a:extLst>
                <a:ext uri="{FF2B5EF4-FFF2-40B4-BE49-F238E27FC236}">
                  <a16:creationId xmlns:a16="http://schemas.microsoft.com/office/drawing/2014/main" id="{7A53A85B-9750-6B78-D1A4-D652EE2888A5}"/>
                </a:ext>
              </a:extLst>
            </xdr:cNvPr>
            <xdr:cNvSpPr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45">
              <a:extLst>
                <a:ext uri="{FF2B5EF4-FFF2-40B4-BE49-F238E27FC236}">
                  <a16:creationId xmlns:a16="http://schemas.microsoft.com/office/drawing/2014/main" id="{54B2D8F7-2001-6668-8F35-5B707E6620FE}"/>
                </a:ext>
              </a:extLst>
            </xdr:cNvPr>
            <xdr:cNvSpPr txBox="1"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KEPOLISIAN NEGARA REPUBLIK INDONESIA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DAERAH JAWA TIMUR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DIREKTORAT LALU LINTAS</a:t>
              </a:r>
              <a:endParaRPr sz="1200" b="1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cxnSp macro="">
          <xdr:nvCxnSpPr>
            <xdr:cNvPr id="6" name="Shape 646">
              <a:extLst>
                <a:ext uri="{FF2B5EF4-FFF2-40B4-BE49-F238E27FC236}">
                  <a16:creationId xmlns:a16="http://schemas.microsoft.com/office/drawing/2014/main" id="{D8DE84A2-504D-83D0-4CE1-0251AEF56C19}"/>
                </a:ext>
              </a:extLst>
            </xdr:cNvPr>
            <xdr:cNvCxnSpPr/>
          </xdr:nvCxnSpPr>
          <xdr:spPr>
            <a:xfrm>
              <a:off x="452437" y="785812"/>
              <a:ext cx="329803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384175</xdr:colOff>
      <xdr:row>0</xdr:row>
      <xdr:rowOff>171450</xdr:rowOff>
    </xdr:from>
    <xdr:ext cx="4086225" cy="704850"/>
    <xdr:grpSp>
      <xdr:nvGrpSpPr>
        <xdr:cNvPr id="2" name="Shape 2">
          <a:extLst>
            <a:ext uri="{FF2B5EF4-FFF2-40B4-BE49-F238E27FC236}">
              <a16:creationId xmlns:a16="http://schemas.microsoft.com/office/drawing/2014/main" id="{8A9280D4-7C87-495E-A336-FF8DC2717B02}"/>
            </a:ext>
          </a:extLst>
        </xdr:cNvPr>
        <xdr:cNvGrpSpPr/>
      </xdr:nvGrpSpPr>
      <xdr:grpSpPr>
        <a:xfrm>
          <a:off x="384175" y="171450"/>
          <a:ext cx="4086225" cy="704850"/>
          <a:chOff x="3302888" y="3427575"/>
          <a:chExt cx="4086225" cy="704850"/>
        </a:xfrm>
      </xdr:grpSpPr>
      <xdr:grpSp>
        <xdr:nvGrpSpPr>
          <xdr:cNvPr id="3" name="Shape 644">
            <a:extLst>
              <a:ext uri="{FF2B5EF4-FFF2-40B4-BE49-F238E27FC236}">
                <a16:creationId xmlns:a16="http://schemas.microsoft.com/office/drawing/2014/main" id="{D4690DAF-82D5-94E8-65A9-63D23FE29351}"/>
              </a:ext>
            </a:extLst>
          </xdr:cNvPr>
          <xdr:cNvGrpSpPr/>
        </xdr:nvGrpSpPr>
        <xdr:grpSpPr>
          <a:xfrm>
            <a:off x="3302888" y="3427575"/>
            <a:ext cx="4086225" cy="704850"/>
            <a:chOff x="250031" y="173831"/>
            <a:chExt cx="3771900" cy="695325"/>
          </a:xfrm>
        </xdr:grpSpPr>
        <xdr:sp macro="" textlink="">
          <xdr:nvSpPr>
            <xdr:cNvPr id="4" name="Shape 19">
              <a:extLst>
                <a:ext uri="{FF2B5EF4-FFF2-40B4-BE49-F238E27FC236}">
                  <a16:creationId xmlns:a16="http://schemas.microsoft.com/office/drawing/2014/main" id="{F488E38B-5D80-533E-CF58-5152F3BD269B}"/>
                </a:ext>
              </a:extLst>
            </xdr:cNvPr>
            <xdr:cNvSpPr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45">
              <a:extLst>
                <a:ext uri="{FF2B5EF4-FFF2-40B4-BE49-F238E27FC236}">
                  <a16:creationId xmlns:a16="http://schemas.microsoft.com/office/drawing/2014/main" id="{7C39F78D-4E39-B48A-9489-73DAC52DCC9A}"/>
                </a:ext>
              </a:extLst>
            </xdr:cNvPr>
            <xdr:cNvSpPr txBox="1"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KEPOLISIAN NEGARA REPUBLIK INDONESIA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DAERAH JAWA TIMUR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DIREKTORAT LALU LINTAS</a:t>
              </a:r>
              <a:endParaRPr sz="1200" b="1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cxnSp macro="">
          <xdr:nvCxnSpPr>
            <xdr:cNvPr id="6" name="Shape 646">
              <a:extLst>
                <a:ext uri="{FF2B5EF4-FFF2-40B4-BE49-F238E27FC236}">
                  <a16:creationId xmlns:a16="http://schemas.microsoft.com/office/drawing/2014/main" id="{9704E2EF-248F-C4C5-59CE-65938F50AD78}"/>
                </a:ext>
              </a:extLst>
            </xdr:cNvPr>
            <xdr:cNvCxnSpPr/>
          </xdr:nvCxnSpPr>
          <xdr:spPr>
            <a:xfrm>
              <a:off x="452437" y="785812"/>
              <a:ext cx="329803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384175</xdr:colOff>
      <xdr:row>0</xdr:row>
      <xdr:rowOff>171450</xdr:rowOff>
    </xdr:from>
    <xdr:ext cx="4086225" cy="704850"/>
    <xdr:grpSp>
      <xdr:nvGrpSpPr>
        <xdr:cNvPr id="2" name="Shape 2">
          <a:extLst>
            <a:ext uri="{FF2B5EF4-FFF2-40B4-BE49-F238E27FC236}">
              <a16:creationId xmlns:a16="http://schemas.microsoft.com/office/drawing/2014/main" id="{5788D008-759B-4607-9101-7F5D3BC0DFB6}"/>
            </a:ext>
          </a:extLst>
        </xdr:cNvPr>
        <xdr:cNvGrpSpPr/>
      </xdr:nvGrpSpPr>
      <xdr:grpSpPr>
        <a:xfrm>
          <a:off x="384175" y="171450"/>
          <a:ext cx="4086225" cy="704850"/>
          <a:chOff x="3302888" y="3427575"/>
          <a:chExt cx="4086225" cy="704850"/>
        </a:xfrm>
      </xdr:grpSpPr>
      <xdr:grpSp>
        <xdr:nvGrpSpPr>
          <xdr:cNvPr id="3" name="Shape 644">
            <a:extLst>
              <a:ext uri="{FF2B5EF4-FFF2-40B4-BE49-F238E27FC236}">
                <a16:creationId xmlns:a16="http://schemas.microsoft.com/office/drawing/2014/main" id="{B1F527FF-04AE-B43A-151B-E82957B97DE6}"/>
              </a:ext>
            </a:extLst>
          </xdr:cNvPr>
          <xdr:cNvGrpSpPr/>
        </xdr:nvGrpSpPr>
        <xdr:grpSpPr>
          <a:xfrm>
            <a:off x="3302888" y="3427575"/>
            <a:ext cx="4086225" cy="704850"/>
            <a:chOff x="250031" y="173831"/>
            <a:chExt cx="3771900" cy="695325"/>
          </a:xfrm>
        </xdr:grpSpPr>
        <xdr:sp macro="" textlink="">
          <xdr:nvSpPr>
            <xdr:cNvPr id="4" name="Shape 19">
              <a:extLst>
                <a:ext uri="{FF2B5EF4-FFF2-40B4-BE49-F238E27FC236}">
                  <a16:creationId xmlns:a16="http://schemas.microsoft.com/office/drawing/2014/main" id="{FEC8B01C-7537-6B4F-099A-33C5E7238BE9}"/>
                </a:ext>
              </a:extLst>
            </xdr:cNvPr>
            <xdr:cNvSpPr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45">
              <a:extLst>
                <a:ext uri="{FF2B5EF4-FFF2-40B4-BE49-F238E27FC236}">
                  <a16:creationId xmlns:a16="http://schemas.microsoft.com/office/drawing/2014/main" id="{CC43EBE0-929D-86DF-D871-42B19BBF86FC}"/>
                </a:ext>
              </a:extLst>
            </xdr:cNvPr>
            <xdr:cNvSpPr txBox="1"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KEPOLISIAN NEGARA REPUBLIK INDONESIA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DAERAH JAWA TIMUR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DIREKTORAT LALU LINTAS</a:t>
              </a:r>
              <a:endParaRPr sz="1200" b="1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cxnSp macro="">
          <xdr:nvCxnSpPr>
            <xdr:cNvPr id="6" name="Shape 646">
              <a:extLst>
                <a:ext uri="{FF2B5EF4-FFF2-40B4-BE49-F238E27FC236}">
                  <a16:creationId xmlns:a16="http://schemas.microsoft.com/office/drawing/2014/main" id="{27EF885C-AA44-5A14-7E07-6780C23E0CC0}"/>
                </a:ext>
              </a:extLst>
            </xdr:cNvPr>
            <xdr:cNvCxnSpPr/>
          </xdr:nvCxnSpPr>
          <xdr:spPr>
            <a:xfrm>
              <a:off x="452437" y="785812"/>
              <a:ext cx="329803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384175</xdr:colOff>
      <xdr:row>0</xdr:row>
      <xdr:rowOff>171450</xdr:rowOff>
    </xdr:from>
    <xdr:ext cx="4086225" cy="704850"/>
    <xdr:grpSp>
      <xdr:nvGrpSpPr>
        <xdr:cNvPr id="2" name="Shape 2">
          <a:extLst>
            <a:ext uri="{FF2B5EF4-FFF2-40B4-BE49-F238E27FC236}">
              <a16:creationId xmlns:a16="http://schemas.microsoft.com/office/drawing/2014/main" id="{4C67043F-519B-43C6-B7C9-FBE097E4D461}"/>
            </a:ext>
          </a:extLst>
        </xdr:cNvPr>
        <xdr:cNvGrpSpPr/>
      </xdr:nvGrpSpPr>
      <xdr:grpSpPr>
        <a:xfrm>
          <a:off x="384175" y="171450"/>
          <a:ext cx="4086225" cy="704850"/>
          <a:chOff x="3302888" y="3427575"/>
          <a:chExt cx="4086225" cy="704850"/>
        </a:xfrm>
      </xdr:grpSpPr>
      <xdr:grpSp>
        <xdr:nvGrpSpPr>
          <xdr:cNvPr id="3" name="Shape 644">
            <a:extLst>
              <a:ext uri="{FF2B5EF4-FFF2-40B4-BE49-F238E27FC236}">
                <a16:creationId xmlns:a16="http://schemas.microsoft.com/office/drawing/2014/main" id="{F3981E7A-5898-C495-F89E-2B63AAD52082}"/>
              </a:ext>
            </a:extLst>
          </xdr:cNvPr>
          <xdr:cNvGrpSpPr/>
        </xdr:nvGrpSpPr>
        <xdr:grpSpPr>
          <a:xfrm>
            <a:off x="3302888" y="3427575"/>
            <a:ext cx="4086225" cy="704850"/>
            <a:chOff x="250031" y="173831"/>
            <a:chExt cx="3771900" cy="695325"/>
          </a:xfrm>
        </xdr:grpSpPr>
        <xdr:sp macro="" textlink="">
          <xdr:nvSpPr>
            <xdr:cNvPr id="4" name="Shape 19">
              <a:extLst>
                <a:ext uri="{FF2B5EF4-FFF2-40B4-BE49-F238E27FC236}">
                  <a16:creationId xmlns:a16="http://schemas.microsoft.com/office/drawing/2014/main" id="{5FF3879F-77B7-28AB-68AF-099117AAA642}"/>
                </a:ext>
              </a:extLst>
            </xdr:cNvPr>
            <xdr:cNvSpPr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45">
              <a:extLst>
                <a:ext uri="{FF2B5EF4-FFF2-40B4-BE49-F238E27FC236}">
                  <a16:creationId xmlns:a16="http://schemas.microsoft.com/office/drawing/2014/main" id="{8BF175FA-48ED-B909-65C1-488DEF284688}"/>
                </a:ext>
              </a:extLst>
            </xdr:cNvPr>
            <xdr:cNvSpPr txBox="1"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KEPOLISIAN NEGARA REPUBLIK INDONESIA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DAERAH JAWA TIMUR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DIREKTORAT LALU LINTAS</a:t>
              </a:r>
              <a:endParaRPr sz="1200" b="1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cxnSp macro="">
          <xdr:nvCxnSpPr>
            <xdr:cNvPr id="6" name="Shape 646">
              <a:extLst>
                <a:ext uri="{FF2B5EF4-FFF2-40B4-BE49-F238E27FC236}">
                  <a16:creationId xmlns:a16="http://schemas.microsoft.com/office/drawing/2014/main" id="{6B691225-9E9F-290C-5261-484DCAF77EA1}"/>
                </a:ext>
              </a:extLst>
            </xdr:cNvPr>
            <xdr:cNvCxnSpPr/>
          </xdr:nvCxnSpPr>
          <xdr:spPr>
            <a:xfrm>
              <a:off x="452437" y="785812"/>
              <a:ext cx="329803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384175</xdr:colOff>
      <xdr:row>0</xdr:row>
      <xdr:rowOff>171450</xdr:rowOff>
    </xdr:from>
    <xdr:ext cx="4086225" cy="704850"/>
    <xdr:grpSp>
      <xdr:nvGrpSpPr>
        <xdr:cNvPr id="2" name="Shape 2">
          <a:extLst>
            <a:ext uri="{FF2B5EF4-FFF2-40B4-BE49-F238E27FC236}">
              <a16:creationId xmlns:a16="http://schemas.microsoft.com/office/drawing/2014/main" id="{4FB9EDDE-81AC-4521-AE05-76EF9D85F85A}"/>
            </a:ext>
          </a:extLst>
        </xdr:cNvPr>
        <xdr:cNvGrpSpPr/>
      </xdr:nvGrpSpPr>
      <xdr:grpSpPr>
        <a:xfrm>
          <a:off x="384175" y="171450"/>
          <a:ext cx="4086225" cy="704850"/>
          <a:chOff x="3302888" y="3427575"/>
          <a:chExt cx="4086225" cy="704850"/>
        </a:xfrm>
      </xdr:grpSpPr>
      <xdr:grpSp>
        <xdr:nvGrpSpPr>
          <xdr:cNvPr id="3" name="Shape 644">
            <a:extLst>
              <a:ext uri="{FF2B5EF4-FFF2-40B4-BE49-F238E27FC236}">
                <a16:creationId xmlns:a16="http://schemas.microsoft.com/office/drawing/2014/main" id="{01CDFB7C-461E-563D-30D4-AF02B246DC05}"/>
              </a:ext>
            </a:extLst>
          </xdr:cNvPr>
          <xdr:cNvGrpSpPr/>
        </xdr:nvGrpSpPr>
        <xdr:grpSpPr>
          <a:xfrm>
            <a:off x="3302888" y="3427575"/>
            <a:ext cx="4086225" cy="704850"/>
            <a:chOff x="250031" y="173831"/>
            <a:chExt cx="3771900" cy="695325"/>
          </a:xfrm>
        </xdr:grpSpPr>
        <xdr:sp macro="" textlink="">
          <xdr:nvSpPr>
            <xdr:cNvPr id="4" name="Shape 19">
              <a:extLst>
                <a:ext uri="{FF2B5EF4-FFF2-40B4-BE49-F238E27FC236}">
                  <a16:creationId xmlns:a16="http://schemas.microsoft.com/office/drawing/2014/main" id="{1F925823-1A7B-249A-6A7B-B2762C3FC801}"/>
                </a:ext>
              </a:extLst>
            </xdr:cNvPr>
            <xdr:cNvSpPr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45">
              <a:extLst>
                <a:ext uri="{FF2B5EF4-FFF2-40B4-BE49-F238E27FC236}">
                  <a16:creationId xmlns:a16="http://schemas.microsoft.com/office/drawing/2014/main" id="{82DFBE5D-200D-B973-2AAB-7508AE397A2D}"/>
                </a:ext>
              </a:extLst>
            </xdr:cNvPr>
            <xdr:cNvSpPr txBox="1"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KEPOLISIAN NEGARA REPUBLIK INDONESIA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DAERAH JAWA TIMUR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DIREKTORAT LALU LINTAS</a:t>
              </a:r>
              <a:endParaRPr sz="1200" b="1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cxnSp macro="">
          <xdr:nvCxnSpPr>
            <xdr:cNvPr id="6" name="Shape 646">
              <a:extLst>
                <a:ext uri="{FF2B5EF4-FFF2-40B4-BE49-F238E27FC236}">
                  <a16:creationId xmlns:a16="http://schemas.microsoft.com/office/drawing/2014/main" id="{82FFF241-55ED-0BDE-C6BC-83EAE0F046FE}"/>
                </a:ext>
              </a:extLst>
            </xdr:cNvPr>
            <xdr:cNvCxnSpPr/>
          </xdr:nvCxnSpPr>
          <xdr:spPr>
            <a:xfrm>
              <a:off x="452437" y="785812"/>
              <a:ext cx="329803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384175</xdr:colOff>
      <xdr:row>0</xdr:row>
      <xdr:rowOff>171450</xdr:rowOff>
    </xdr:from>
    <xdr:ext cx="4086225" cy="704850"/>
    <xdr:grpSp>
      <xdr:nvGrpSpPr>
        <xdr:cNvPr id="2" name="Shape 2">
          <a:extLst>
            <a:ext uri="{FF2B5EF4-FFF2-40B4-BE49-F238E27FC236}">
              <a16:creationId xmlns:a16="http://schemas.microsoft.com/office/drawing/2014/main" id="{0CF437F8-B954-46BB-8E40-FEE108DE6E32}"/>
            </a:ext>
          </a:extLst>
        </xdr:cNvPr>
        <xdr:cNvGrpSpPr/>
      </xdr:nvGrpSpPr>
      <xdr:grpSpPr>
        <a:xfrm>
          <a:off x="384175" y="171450"/>
          <a:ext cx="4086225" cy="704850"/>
          <a:chOff x="3302888" y="3427575"/>
          <a:chExt cx="4086225" cy="704850"/>
        </a:xfrm>
      </xdr:grpSpPr>
      <xdr:grpSp>
        <xdr:nvGrpSpPr>
          <xdr:cNvPr id="3" name="Shape 644">
            <a:extLst>
              <a:ext uri="{FF2B5EF4-FFF2-40B4-BE49-F238E27FC236}">
                <a16:creationId xmlns:a16="http://schemas.microsoft.com/office/drawing/2014/main" id="{297F3BA2-F904-3613-4DE8-522481EC78EC}"/>
              </a:ext>
            </a:extLst>
          </xdr:cNvPr>
          <xdr:cNvGrpSpPr/>
        </xdr:nvGrpSpPr>
        <xdr:grpSpPr>
          <a:xfrm>
            <a:off x="3302888" y="3427575"/>
            <a:ext cx="4086225" cy="704850"/>
            <a:chOff x="250031" y="173831"/>
            <a:chExt cx="3771900" cy="695325"/>
          </a:xfrm>
        </xdr:grpSpPr>
        <xdr:sp macro="" textlink="">
          <xdr:nvSpPr>
            <xdr:cNvPr id="4" name="Shape 19">
              <a:extLst>
                <a:ext uri="{FF2B5EF4-FFF2-40B4-BE49-F238E27FC236}">
                  <a16:creationId xmlns:a16="http://schemas.microsoft.com/office/drawing/2014/main" id="{53542ACD-34F6-01F5-8392-0C3E1B7A262E}"/>
                </a:ext>
              </a:extLst>
            </xdr:cNvPr>
            <xdr:cNvSpPr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45">
              <a:extLst>
                <a:ext uri="{FF2B5EF4-FFF2-40B4-BE49-F238E27FC236}">
                  <a16:creationId xmlns:a16="http://schemas.microsoft.com/office/drawing/2014/main" id="{9FF56675-03CD-6D97-3FF8-54678B5B7546}"/>
                </a:ext>
              </a:extLst>
            </xdr:cNvPr>
            <xdr:cNvSpPr txBox="1"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KEPOLISIAN NEGARA REPUBLIK INDONESIA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DAERAH JAWA TIMUR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DIREKTORAT LALU LINTAS</a:t>
              </a:r>
              <a:endParaRPr sz="1200" b="1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cxnSp macro="">
          <xdr:nvCxnSpPr>
            <xdr:cNvPr id="6" name="Shape 646">
              <a:extLst>
                <a:ext uri="{FF2B5EF4-FFF2-40B4-BE49-F238E27FC236}">
                  <a16:creationId xmlns:a16="http://schemas.microsoft.com/office/drawing/2014/main" id="{A4467216-1A27-76C2-9F8D-3E7058D218E1}"/>
                </a:ext>
              </a:extLst>
            </xdr:cNvPr>
            <xdr:cNvCxnSpPr/>
          </xdr:nvCxnSpPr>
          <xdr:spPr>
            <a:xfrm>
              <a:off x="452437" y="785812"/>
              <a:ext cx="329803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384175</xdr:colOff>
      <xdr:row>0</xdr:row>
      <xdr:rowOff>171450</xdr:rowOff>
    </xdr:from>
    <xdr:ext cx="4086225" cy="704850"/>
    <xdr:grpSp>
      <xdr:nvGrpSpPr>
        <xdr:cNvPr id="2" name="Shape 2">
          <a:extLst>
            <a:ext uri="{FF2B5EF4-FFF2-40B4-BE49-F238E27FC236}">
              <a16:creationId xmlns:a16="http://schemas.microsoft.com/office/drawing/2014/main" id="{899CC45A-7B58-4CF6-9537-C77F37BE57D0}"/>
            </a:ext>
          </a:extLst>
        </xdr:cNvPr>
        <xdr:cNvGrpSpPr/>
      </xdr:nvGrpSpPr>
      <xdr:grpSpPr>
        <a:xfrm>
          <a:off x="384175" y="171450"/>
          <a:ext cx="4086225" cy="704850"/>
          <a:chOff x="3302888" y="3427575"/>
          <a:chExt cx="4086225" cy="704850"/>
        </a:xfrm>
      </xdr:grpSpPr>
      <xdr:grpSp>
        <xdr:nvGrpSpPr>
          <xdr:cNvPr id="3" name="Shape 644">
            <a:extLst>
              <a:ext uri="{FF2B5EF4-FFF2-40B4-BE49-F238E27FC236}">
                <a16:creationId xmlns:a16="http://schemas.microsoft.com/office/drawing/2014/main" id="{2FDCC6C1-AB1C-F0BE-DE6B-FE30CA4DCED5}"/>
              </a:ext>
            </a:extLst>
          </xdr:cNvPr>
          <xdr:cNvGrpSpPr/>
        </xdr:nvGrpSpPr>
        <xdr:grpSpPr>
          <a:xfrm>
            <a:off x="3302888" y="3427575"/>
            <a:ext cx="4086225" cy="704850"/>
            <a:chOff x="250031" y="173831"/>
            <a:chExt cx="3771900" cy="695325"/>
          </a:xfrm>
        </xdr:grpSpPr>
        <xdr:sp macro="" textlink="">
          <xdr:nvSpPr>
            <xdr:cNvPr id="4" name="Shape 19">
              <a:extLst>
                <a:ext uri="{FF2B5EF4-FFF2-40B4-BE49-F238E27FC236}">
                  <a16:creationId xmlns:a16="http://schemas.microsoft.com/office/drawing/2014/main" id="{8D9C9E65-EBBF-9B73-D5F1-25BE9B383E8B}"/>
                </a:ext>
              </a:extLst>
            </xdr:cNvPr>
            <xdr:cNvSpPr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45">
              <a:extLst>
                <a:ext uri="{FF2B5EF4-FFF2-40B4-BE49-F238E27FC236}">
                  <a16:creationId xmlns:a16="http://schemas.microsoft.com/office/drawing/2014/main" id="{A0F19518-0107-6495-E331-3CD5FCFA383B}"/>
                </a:ext>
              </a:extLst>
            </xdr:cNvPr>
            <xdr:cNvSpPr txBox="1"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KEPOLISIAN NEGARA REPUBLIK INDONESIA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DAERAH JAWA TIMUR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DIREKTORAT LALU LINTAS</a:t>
              </a:r>
              <a:endParaRPr sz="1200" b="1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cxnSp macro="">
          <xdr:nvCxnSpPr>
            <xdr:cNvPr id="6" name="Shape 646">
              <a:extLst>
                <a:ext uri="{FF2B5EF4-FFF2-40B4-BE49-F238E27FC236}">
                  <a16:creationId xmlns:a16="http://schemas.microsoft.com/office/drawing/2014/main" id="{F1A37876-637E-2C2E-4FBB-AFF43C241113}"/>
                </a:ext>
              </a:extLst>
            </xdr:cNvPr>
            <xdr:cNvCxnSpPr/>
          </xdr:nvCxnSpPr>
          <xdr:spPr>
            <a:xfrm>
              <a:off x="452437" y="785812"/>
              <a:ext cx="329803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384175</xdr:colOff>
      <xdr:row>0</xdr:row>
      <xdr:rowOff>171450</xdr:rowOff>
    </xdr:from>
    <xdr:ext cx="4086225" cy="704850"/>
    <xdr:grpSp>
      <xdr:nvGrpSpPr>
        <xdr:cNvPr id="2" name="Shape 2">
          <a:extLst>
            <a:ext uri="{FF2B5EF4-FFF2-40B4-BE49-F238E27FC236}">
              <a16:creationId xmlns:a16="http://schemas.microsoft.com/office/drawing/2014/main" id="{C565BF8F-ED0E-4669-BE10-3A49F9B93B3C}"/>
            </a:ext>
          </a:extLst>
        </xdr:cNvPr>
        <xdr:cNvGrpSpPr/>
      </xdr:nvGrpSpPr>
      <xdr:grpSpPr>
        <a:xfrm>
          <a:off x="384175" y="171450"/>
          <a:ext cx="4086225" cy="704850"/>
          <a:chOff x="3302888" y="3427575"/>
          <a:chExt cx="4086225" cy="704850"/>
        </a:xfrm>
      </xdr:grpSpPr>
      <xdr:grpSp>
        <xdr:nvGrpSpPr>
          <xdr:cNvPr id="3" name="Shape 644">
            <a:extLst>
              <a:ext uri="{FF2B5EF4-FFF2-40B4-BE49-F238E27FC236}">
                <a16:creationId xmlns:a16="http://schemas.microsoft.com/office/drawing/2014/main" id="{5B409D96-3FBD-2DE9-AF36-4A38303B0FDE}"/>
              </a:ext>
            </a:extLst>
          </xdr:cNvPr>
          <xdr:cNvGrpSpPr/>
        </xdr:nvGrpSpPr>
        <xdr:grpSpPr>
          <a:xfrm>
            <a:off x="3302888" y="3427575"/>
            <a:ext cx="4086225" cy="704850"/>
            <a:chOff x="250031" y="173831"/>
            <a:chExt cx="3771900" cy="695325"/>
          </a:xfrm>
        </xdr:grpSpPr>
        <xdr:sp macro="" textlink="">
          <xdr:nvSpPr>
            <xdr:cNvPr id="4" name="Shape 19">
              <a:extLst>
                <a:ext uri="{FF2B5EF4-FFF2-40B4-BE49-F238E27FC236}">
                  <a16:creationId xmlns:a16="http://schemas.microsoft.com/office/drawing/2014/main" id="{6870B95F-4C81-9566-2108-2D93E9D62F5F}"/>
                </a:ext>
              </a:extLst>
            </xdr:cNvPr>
            <xdr:cNvSpPr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45">
              <a:extLst>
                <a:ext uri="{FF2B5EF4-FFF2-40B4-BE49-F238E27FC236}">
                  <a16:creationId xmlns:a16="http://schemas.microsoft.com/office/drawing/2014/main" id="{767E7250-D063-23A5-F9B6-3CB39EA0A9D6}"/>
                </a:ext>
              </a:extLst>
            </xdr:cNvPr>
            <xdr:cNvSpPr txBox="1"/>
          </xdr:nvSpPr>
          <xdr:spPr>
            <a:xfrm>
              <a:off x="250031" y="173831"/>
              <a:ext cx="3771900" cy="695325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KEPOLISIAN NEGARA REPUBLIK INDONESIA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DAERAH JAWA TIMUR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Arial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DIREKTORAT LALU LINTAS</a:t>
              </a:r>
              <a:endParaRPr sz="1200" b="1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cxnSp macro="">
          <xdr:nvCxnSpPr>
            <xdr:cNvPr id="6" name="Shape 646">
              <a:extLst>
                <a:ext uri="{FF2B5EF4-FFF2-40B4-BE49-F238E27FC236}">
                  <a16:creationId xmlns:a16="http://schemas.microsoft.com/office/drawing/2014/main" id="{5092E7AC-A22C-BCD6-BF11-9CC790418422}"/>
                </a:ext>
              </a:extLst>
            </xdr:cNvPr>
            <xdr:cNvCxnSpPr/>
          </xdr:nvCxnSpPr>
          <xdr:spPr>
            <a:xfrm>
              <a:off x="452437" y="785812"/>
              <a:ext cx="329803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FAN/FILE%202023/LAPORAN%20BULANAN/LAPBUL%20SBST%20DAN%20REKAP%20PNBP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. MAT 01 SIM"/>
      <sheetName val="L. MAT 02 STNK"/>
      <sheetName val="L. MAT 03 BPKB"/>
      <sheetName val="L. MAT 06 STCK"/>
      <sheetName val="L. MAT 07 MUTASI"/>
      <sheetName val="L. MAT 04 TNKB R2"/>
      <sheetName val="L. MAT 05 TNKB R4"/>
      <sheetName val="L. MAT 12 TCKB"/>
      <sheetName val="L. MAT 08 NRKB"/>
      <sheetName val="L. MAT 11 SKUKP"/>
      <sheetName val="L. PNBP 01 REKAP"/>
      <sheetName val="SISA STOCK MATERIEL"/>
      <sheetName val="L. MAT 09 STNKLBN"/>
      <sheetName val="L. MAT 10 TNKB LBN"/>
      <sheetName val="TNKB LISTRIK"/>
      <sheetName val="L. MAT 13 SIM IN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</row>
      </sheetData>
      <sheetData sheetId="13"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7"/>
  <sheetViews>
    <sheetView topLeftCell="F64" zoomScale="75" zoomScaleNormal="75" workbookViewId="0">
      <selection activeCell="N52" sqref="N52"/>
    </sheetView>
  </sheetViews>
  <sheetFormatPr defaultRowHeight="14.25"/>
  <cols>
    <col min="2" max="2" width="5.875" customWidth="1"/>
    <col min="3" max="10" width="16.125" customWidth="1"/>
    <col min="11" max="11" width="26.25" customWidth="1"/>
    <col min="12" max="13" width="16.125" customWidth="1"/>
    <col min="14" max="14" width="20.75" customWidth="1"/>
    <col min="15" max="15" width="16.125" customWidth="1"/>
  </cols>
  <sheetData>
    <row r="1" spans="2:15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2:15" ht="15">
      <c r="B2" s="107"/>
      <c r="C2" s="108"/>
      <c r="D2" s="108"/>
      <c r="E2" s="108"/>
      <c r="F2" s="108"/>
      <c r="G2" s="108"/>
      <c r="H2" s="3"/>
      <c r="I2" s="3"/>
      <c r="J2" s="3"/>
      <c r="K2" s="3"/>
      <c r="L2" s="3"/>
      <c r="M2" s="3"/>
      <c r="N2" s="3"/>
      <c r="O2" s="4"/>
    </row>
    <row r="3" spans="2:15" ht="15">
      <c r="B3" s="108"/>
      <c r="C3" s="100"/>
      <c r="D3" s="100"/>
      <c r="E3" s="100"/>
      <c r="F3" s="100"/>
      <c r="G3" s="108"/>
      <c r="H3" s="3"/>
      <c r="I3" s="3"/>
      <c r="J3" s="3"/>
      <c r="K3" s="3"/>
      <c r="L3" s="3"/>
      <c r="M3" s="3"/>
      <c r="N3" s="3"/>
      <c r="O3" s="4"/>
    </row>
    <row r="4" spans="2:15" ht="15.75">
      <c r="B4" s="108"/>
      <c r="C4" s="100"/>
      <c r="D4" s="100"/>
      <c r="E4" s="100"/>
      <c r="F4" s="100"/>
      <c r="G4" s="108"/>
      <c r="H4" s="5"/>
      <c r="I4" s="3"/>
      <c r="J4" s="6"/>
      <c r="K4" s="7"/>
      <c r="L4" s="3"/>
      <c r="M4" s="6"/>
      <c r="N4" s="7"/>
      <c r="O4" s="4"/>
    </row>
    <row r="5" spans="2:15" ht="15.75">
      <c r="B5" s="108"/>
      <c r="C5" s="108"/>
      <c r="D5" s="108"/>
      <c r="E5" s="108"/>
      <c r="F5" s="108"/>
      <c r="G5" s="108"/>
      <c r="H5" s="5"/>
      <c r="I5" s="5"/>
      <c r="J5" s="8"/>
      <c r="K5" s="6"/>
      <c r="L5" s="5"/>
      <c r="M5" s="8"/>
      <c r="N5" s="6"/>
      <c r="O5" s="4"/>
    </row>
    <row r="6" spans="2:15" ht="15.75">
      <c r="B6" s="109" t="s">
        <v>57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</row>
    <row r="7" spans="2:15" ht="15.75">
      <c r="B7" s="110" t="s">
        <v>58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</row>
    <row r="8" spans="2:15" ht="15.7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ht="15.75">
      <c r="B9" s="111"/>
      <c r="C9" s="108"/>
      <c r="D9" s="108"/>
      <c r="E9" s="108"/>
      <c r="F9" s="108"/>
      <c r="G9" s="108"/>
      <c r="H9" s="108"/>
      <c r="I9" s="11"/>
      <c r="J9" s="9"/>
      <c r="K9" s="11"/>
      <c r="L9" s="11"/>
      <c r="M9" s="9"/>
      <c r="N9" s="11"/>
      <c r="O9" s="4"/>
    </row>
    <row r="10" spans="2:15" ht="15.75">
      <c r="B10" s="112" t="s">
        <v>0</v>
      </c>
      <c r="C10" s="114" t="s">
        <v>1</v>
      </c>
      <c r="D10" s="115"/>
      <c r="E10" s="115"/>
      <c r="F10" s="115"/>
      <c r="G10" s="115"/>
      <c r="H10" s="116"/>
      <c r="I10" s="120" t="s">
        <v>2</v>
      </c>
      <c r="J10" s="103"/>
      <c r="K10" s="104"/>
      <c r="L10" s="120" t="s">
        <v>3</v>
      </c>
      <c r="M10" s="103"/>
      <c r="N10" s="104"/>
      <c r="O10" s="121" t="s">
        <v>4</v>
      </c>
    </row>
    <row r="11" spans="2:15" ht="15.75">
      <c r="B11" s="113"/>
      <c r="C11" s="117"/>
      <c r="D11" s="118"/>
      <c r="E11" s="118"/>
      <c r="F11" s="118"/>
      <c r="G11" s="118"/>
      <c r="H11" s="119"/>
      <c r="I11" s="12" t="s">
        <v>5</v>
      </c>
      <c r="J11" s="12" t="s">
        <v>6</v>
      </c>
      <c r="K11" s="12" t="s">
        <v>7</v>
      </c>
      <c r="L11" s="12" t="s">
        <v>5</v>
      </c>
      <c r="M11" s="12" t="s">
        <v>6</v>
      </c>
      <c r="N11" s="12" t="s">
        <v>8</v>
      </c>
      <c r="O11" s="122"/>
    </row>
    <row r="12" spans="2:15" ht="15.75">
      <c r="B12" s="12">
        <v>1</v>
      </c>
      <c r="C12" s="102">
        <v>2</v>
      </c>
      <c r="D12" s="103"/>
      <c r="E12" s="103"/>
      <c r="F12" s="103"/>
      <c r="G12" s="103"/>
      <c r="H12" s="104"/>
      <c r="I12" s="12">
        <v>3</v>
      </c>
      <c r="J12" s="12">
        <v>4</v>
      </c>
      <c r="K12" s="12">
        <v>5</v>
      </c>
      <c r="L12" s="12">
        <v>3</v>
      </c>
      <c r="M12" s="12">
        <v>4</v>
      </c>
      <c r="N12" s="12">
        <v>5</v>
      </c>
      <c r="O12" s="12">
        <v>6</v>
      </c>
    </row>
    <row r="13" spans="2:15" ht="15.75">
      <c r="B13" s="13"/>
      <c r="C13" s="14">
        <v>1</v>
      </c>
      <c r="D13" s="15" t="s">
        <v>9</v>
      </c>
      <c r="E13" s="16"/>
      <c r="F13" s="16"/>
      <c r="G13" s="16"/>
      <c r="H13" s="17"/>
      <c r="I13" s="18">
        <v>1002980</v>
      </c>
      <c r="J13" s="19"/>
      <c r="K13" s="20">
        <f t="shared" ref="K13:L13" si="0">SUM(K14:K22)</f>
        <v>106956030000</v>
      </c>
      <c r="L13" s="18">
        <f t="shared" si="0"/>
        <v>33484</v>
      </c>
      <c r="M13" s="19"/>
      <c r="N13" s="20">
        <f>SUM(N14:N22)</f>
        <v>3639520000</v>
      </c>
      <c r="O13" s="21">
        <f t="shared" ref="O13:O22" si="1">N13/K13</f>
        <v>3.4028188966998871E-2</v>
      </c>
    </row>
    <row r="14" spans="2:15" ht="15.75">
      <c r="B14" s="22"/>
      <c r="C14" s="23"/>
      <c r="D14" s="24" t="s">
        <v>10</v>
      </c>
      <c r="E14" s="25" t="s">
        <v>11</v>
      </c>
      <c r="F14" s="24"/>
      <c r="G14" s="24"/>
      <c r="H14" s="26"/>
      <c r="I14" s="27">
        <v>294130</v>
      </c>
      <c r="J14" s="28">
        <v>120000</v>
      </c>
      <c r="K14" s="28">
        <f t="shared" ref="K14:K22" si="2">I14*J14</f>
        <v>35295600000</v>
      </c>
      <c r="L14" s="27">
        <v>12854</v>
      </c>
      <c r="M14" s="28">
        <v>120000</v>
      </c>
      <c r="N14" s="28">
        <f t="shared" ref="N14:N22" si="3">L14*M14</f>
        <v>1542480000</v>
      </c>
      <c r="O14" s="29">
        <f t="shared" si="1"/>
        <v>4.3701764525889912E-2</v>
      </c>
    </row>
    <row r="15" spans="2:15" ht="15.75">
      <c r="B15" s="22"/>
      <c r="C15" s="23"/>
      <c r="D15" s="24" t="s">
        <v>12</v>
      </c>
      <c r="E15" s="25" t="s">
        <v>13</v>
      </c>
      <c r="F15" s="24"/>
      <c r="G15" s="24"/>
      <c r="H15" s="26"/>
      <c r="I15" s="27">
        <v>30304</v>
      </c>
      <c r="J15" s="28">
        <v>120000</v>
      </c>
      <c r="K15" s="28">
        <f t="shared" si="2"/>
        <v>3636480000</v>
      </c>
      <c r="L15" s="27">
        <v>1302</v>
      </c>
      <c r="M15" s="28">
        <v>120000</v>
      </c>
      <c r="N15" s="28">
        <f t="shared" si="3"/>
        <v>156240000</v>
      </c>
      <c r="O15" s="29">
        <f t="shared" si="1"/>
        <v>4.2964625131995775E-2</v>
      </c>
    </row>
    <row r="16" spans="2:15" ht="15.75">
      <c r="B16" s="22"/>
      <c r="C16" s="23"/>
      <c r="D16" s="24" t="s">
        <v>14</v>
      </c>
      <c r="E16" s="25" t="s">
        <v>15</v>
      </c>
      <c r="F16" s="24"/>
      <c r="G16" s="24"/>
      <c r="H16" s="26"/>
      <c r="I16" s="27">
        <v>13370</v>
      </c>
      <c r="J16" s="28">
        <v>120000</v>
      </c>
      <c r="K16" s="28">
        <f t="shared" si="2"/>
        <v>1604400000</v>
      </c>
      <c r="L16" s="27">
        <v>435</v>
      </c>
      <c r="M16" s="28">
        <v>120000</v>
      </c>
      <c r="N16" s="28">
        <f t="shared" si="3"/>
        <v>52200000</v>
      </c>
      <c r="O16" s="29">
        <f t="shared" si="1"/>
        <v>3.2535527299925204E-2</v>
      </c>
    </row>
    <row r="17" spans="2:15" ht="15.75">
      <c r="B17" s="22"/>
      <c r="C17" s="23"/>
      <c r="D17" s="24" t="s">
        <v>16</v>
      </c>
      <c r="E17" s="25" t="s">
        <v>17</v>
      </c>
      <c r="F17" s="24"/>
      <c r="G17" s="24"/>
      <c r="H17" s="26"/>
      <c r="I17" s="27">
        <v>662649</v>
      </c>
      <c r="J17" s="28">
        <v>100000</v>
      </c>
      <c r="K17" s="28">
        <f t="shared" si="2"/>
        <v>66264900000</v>
      </c>
      <c r="L17" s="27">
        <v>18879</v>
      </c>
      <c r="M17" s="28">
        <v>100000</v>
      </c>
      <c r="N17" s="28">
        <f t="shared" si="3"/>
        <v>1887900000</v>
      </c>
      <c r="O17" s="29">
        <f t="shared" si="1"/>
        <v>2.849019616720164E-2</v>
      </c>
    </row>
    <row r="18" spans="2:15" ht="15.75">
      <c r="B18" s="22"/>
      <c r="C18" s="23"/>
      <c r="D18" s="24" t="s">
        <v>18</v>
      </c>
      <c r="E18" s="25" t="s">
        <v>19</v>
      </c>
      <c r="F18" s="24"/>
      <c r="G18" s="24"/>
      <c r="H18" s="26"/>
      <c r="I18" s="27">
        <v>299</v>
      </c>
      <c r="J18" s="28">
        <v>100000</v>
      </c>
      <c r="K18" s="28">
        <f t="shared" si="2"/>
        <v>29900000</v>
      </c>
      <c r="L18" s="27">
        <v>0</v>
      </c>
      <c r="M18" s="28">
        <v>100000</v>
      </c>
      <c r="N18" s="28">
        <f t="shared" si="3"/>
        <v>0</v>
      </c>
      <c r="O18" s="29">
        <f t="shared" si="1"/>
        <v>0</v>
      </c>
    </row>
    <row r="19" spans="2:15" ht="15.75">
      <c r="B19" s="22"/>
      <c r="C19" s="23"/>
      <c r="D19" s="24" t="s">
        <v>20</v>
      </c>
      <c r="E19" s="25" t="s">
        <v>21</v>
      </c>
      <c r="F19" s="24"/>
      <c r="G19" s="24"/>
      <c r="H19" s="26"/>
      <c r="I19" s="27">
        <v>267</v>
      </c>
      <c r="J19" s="28">
        <v>100000</v>
      </c>
      <c r="K19" s="28">
        <f t="shared" si="2"/>
        <v>26700000</v>
      </c>
      <c r="L19" s="27">
        <v>0</v>
      </c>
      <c r="M19" s="28">
        <v>100000</v>
      </c>
      <c r="N19" s="28">
        <f t="shared" si="3"/>
        <v>0</v>
      </c>
      <c r="O19" s="29">
        <f t="shared" si="1"/>
        <v>0</v>
      </c>
    </row>
    <row r="20" spans="2:15" ht="15.75">
      <c r="B20" s="22"/>
      <c r="C20" s="23"/>
      <c r="D20" s="24" t="s">
        <v>22</v>
      </c>
      <c r="E20" s="25" t="s">
        <v>23</v>
      </c>
      <c r="F20" s="24"/>
      <c r="G20" s="24"/>
      <c r="H20" s="26"/>
      <c r="I20" s="27">
        <v>1925</v>
      </c>
      <c r="J20" s="28">
        <v>50000</v>
      </c>
      <c r="K20" s="28">
        <f t="shared" si="2"/>
        <v>96250000</v>
      </c>
      <c r="L20" s="27">
        <v>14</v>
      </c>
      <c r="M20" s="28">
        <v>50000</v>
      </c>
      <c r="N20" s="28">
        <f t="shared" si="3"/>
        <v>700000</v>
      </c>
      <c r="O20" s="29">
        <f t="shared" si="1"/>
        <v>7.2727272727272727E-3</v>
      </c>
    </row>
    <row r="21" spans="2:15" ht="15.75">
      <c r="B21" s="22"/>
      <c r="C21" s="23"/>
      <c r="D21" s="24" t="s">
        <v>24</v>
      </c>
      <c r="E21" s="25" t="s">
        <v>25</v>
      </c>
      <c r="F21" s="24"/>
      <c r="G21" s="24"/>
      <c r="H21" s="26"/>
      <c r="I21" s="27">
        <v>36</v>
      </c>
      <c r="J21" s="28">
        <v>50000</v>
      </c>
      <c r="K21" s="28">
        <f t="shared" si="2"/>
        <v>1800000</v>
      </c>
      <c r="L21" s="27">
        <v>0</v>
      </c>
      <c r="M21" s="28">
        <v>50000</v>
      </c>
      <c r="N21" s="28">
        <f t="shared" si="3"/>
        <v>0</v>
      </c>
      <c r="O21" s="29">
        <f t="shared" si="1"/>
        <v>0</v>
      </c>
    </row>
    <row r="22" spans="2:15" ht="15.75">
      <c r="B22" s="22"/>
      <c r="C22" s="23"/>
      <c r="D22" s="24" t="s">
        <v>26</v>
      </c>
      <c r="E22" s="25" t="s">
        <v>27</v>
      </c>
      <c r="F22" s="24"/>
      <c r="G22" s="24"/>
      <c r="H22" s="26"/>
      <c r="I22" s="27">
        <v>0</v>
      </c>
      <c r="J22" s="28">
        <v>250000</v>
      </c>
      <c r="K22" s="28">
        <f t="shared" si="2"/>
        <v>0</v>
      </c>
      <c r="L22" s="27">
        <v>0</v>
      </c>
      <c r="M22" s="28">
        <v>250000</v>
      </c>
      <c r="N22" s="28">
        <f t="shared" si="3"/>
        <v>0</v>
      </c>
      <c r="O22" s="29" t="e">
        <f t="shared" si="1"/>
        <v>#DIV/0!</v>
      </c>
    </row>
    <row r="23" spans="2:15" ht="15.75">
      <c r="B23" s="22"/>
      <c r="C23" s="23"/>
      <c r="D23" s="24"/>
      <c r="E23" s="25"/>
      <c r="F23" s="24"/>
      <c r="G23" s="24"/>
      <c r="H23" s="26"/>
      <c r="I23" s="30"/>
      <c r="J23" s="28"/>
      <c r="K23" s="28"/>
      <c r="L23" s="30"/>
      <c r="M23" s="28"/>
      <c r="N23" s="28"/>
      <c r="O23" s="29"/>
    </row>
    <row r="24" spans="2:15" ht="15.75">
      <c r="B24" s="31"/>
      <c r="C24" s="32">
        <v>2</v>
      </c>
      <c r="D24" s="33" t="s">
        <v>28</v>
      </c>
      <c r="E24" s="34"/>
      <c r="F24" s="34"/>
      <c r="G24" s="34"/>
      <c r="H24" s="35"/>
      <c r="I24" s="36">
        <v>1997021</v>
      </c>
      <c r="J24" s="37"/>
      <c r="K24" s="38">
        <f t="shared" ref="K24:L24" si="4">SUM(K25:K33)</f>
        <v>153240870000</v>
      </c>
      <c r="L24" s="36">
        <f t="shared" si="4"/>
        <v>111884</v>
      </c>
      <c r="M24" s="37"/>
      <c r="N24" s="38">
        <f>SUM(N25:N33)</f>
        <v>8584715000</v>
      </c>
      <c r="O24" s="39">
        <f t="shared" ref="O24:O32" si="5">N24/K24</f>
        <v>5.602105365233178E-2</v>
      </c>
    </row>
    <row r="25" spans="2:15" ht="15.75">
      <c r="B25" s="22"/>
      <c r="C25" s="23"/>
      <c r="D25" s="24" t="s">
        <v>10</v>
      </c>
      <c r="E25" s="25" t="s">
        <v>11</v>
      </c>
      <c r="F25" s="24"/>
      <c r="G25" s="24"/>
      <c r="H25" s="26"/>
      <c r="I25" s="27">
        <v>596792</v>
      </c>
      <c r="J25" s="28">
        <v>80000</v>
      </c>
      <c r="K25" s="28">
        <f t="shared" ref="K25:K33" si="6">I25*J25</f>
        <v>47743360000</v>
      </c>
      <c r="L25" s="27">
        <v>34726</v>
      </c>
      <c r="M25" s="28">
        <v>80000</v>
      </c>
      <c r="N25" s="28">
        <f t="shared" ref="N25:N33" si="7">L25*M25</f>
        <v>2778080000</v>
      </c>
      <c r="O25" s="29">
        <f t="shared" si="5"/>
        <v>5.8187777316049814E-2</v>
      </c>
    </row>
    <row r="26" spans="2:15" ht="15.75">
      <c r="B26" s="22"/>
      <c r="C26" s="23"/>
      <c r="D26" s="24" t="s">
        <v>12</v>
      </c>
      <c r="E26" s="25" t="s">
        <v>13</v>
      </c>
      <c r="F26" s="24"/>
      <c r="G26" s="24"/>
      <c r="H26" s="26"/>
      <c r="I26" s="27">
        <v>63576</v>
      </c>
      <c r="J26" s="28">
        <v>80000</v>
      </c>
      <c r="K26" s="28">
        <f t="shared" si="6"/>
        <v>5086080000</v>
      </c>
      <c r="L26" s="27">
        <v>2511</v>
      </c>
      <c r="M26" s="28">
        <v>80000</v>
      </c>
      <c r="N26" s="28">
        <f t="shared" si="7"/>
        <v>200880000</v>
      </c>
      <c r="O26" s="29">
        <f t="shared" si="5"/>
        <v>3.9496036240090598E-2</v>
      </c>
    </row>
    <row r="27" spans="2:15" ht="15.75">
      <c r="B27" s="22"/>
      <c r="C27" s="23"/>
      <c r="D27" s="24" t="s">
        <v>14</v>
      </c>
      <c r="E27" s="25" t="s">
        <v>15</v>
      </c>
      <c r="F27" s="24"/>
      <c r="G27" s="24"/>
      <c r="H27" s="26"/>
      <c r="I27" s="27">
        <v>35983</v>
      </c>
      <c r="J27" s="28">
        <v>80000</v>
      </c>
      <c r="K27" s="28">
        <f t="shared" si="6"/>
        <v>2878640000</v>
      </c>
      <c r="L27" s="27">
        <v>1536</v>
      </c>
      <c r="M27" s="28">
        <v>80000</v>
      </c>
      <c r="N27" s="28">
        <f t="shared" si="7"/>
        <v>122880000</v>
      </c>
      <c r="O27" s="29">
        <f t="shared" si="5"/>
        <v>4.2686824333713146E-2</v>
      </c>
    </row>
    <row r="28" spans="2:15" ht="15.75">
      <c r="B28" s="22"/>
      <c r="C28" s="23"/>
      <c r="D28" s="24" t="s">
        <v>16</v>
      </c>
      <c r="E28" s="25" t="s">
        <v>17</v>
      </c>
      <c r="F28" s="24"/>
      <c r="G28" s="24"/>
      <c r="H28" s="26"/>
      <c r="I28" s="27">
        <v>1296381</v>
      </c>
      <c r="J28" s="28">
        <v>75000</v>
      </c>
      <c r="K28" s="28">
        <f t="shared" si="6"/>
        <v>97228575000</v>
      </c>
      <c r="L28" s="27">
        <v>73101</v>
      </c>
      <c r="M28" s="28">
        <v>75000</v>
      </c>
      <c r="N28" s="28">
        <f t="shared" si="7"/>
        <v>5482575000</v>
      </c>
      <c r="O28" s="29">
        <f t="shared" si="5"/>
        <v>5.6388515413292851E-2</v>
      </c>
    </row>
    <row r="29" spans="2:15" ht="15.75">
      <c r="B29" s="22"/>
      <c r="C29" s="23"/>
      <c r="D29" s="24" t="s">
        <v>18</v>
      </c>
      <c r="E29" s="25" t="s">
        <v>19</v>
      </c>
      <c r="F29" s="24"/>
      <c r="G29" s="24"/>
      <c r="H29" s="26"/>
      <c r="I29" s="27">
        <v>3815</v>
      </c>
      <c r="J29" s="28">
        <v>75000</v>
      </c>
      <c r="K29" s="28">
        <f t="shared" si="6"/>
        <v>286125000</v>
      </c>
      <c r="L29" s="27">
        <v>0</v>
      </c>
      <c r="M29" s="28">
        <v>75000</v>
      </c>
      <c r="N29" s="28">
        <f t="shared" si="7"/>
        <v>0</v>
      </c>
      <c r="O29" s="29">
        <f t="shared" si="5"/>
        <v>0</v>
      </c>
    </row>
    <row r="30" spans="2:15" ht="15.75">
      <c r="B30" s="22"/>
      <c r="C30" s="23"/>
      <c r="D30" s="24" t="s">
        <v>20</v>
      </c>
      <c r="E30" s="25" t="s">
        <v>21</v>
      </c>
      <c r="F30" s="24"/>
      <c r="G30" s="24"/>
      <c r="H30" s="26"/>
      <c r="I30" s="27">
        <v>86</v>
      </c>
      <c r="J30" s="28">
        <v>75000</v>
      </c>
      <c r="K30" s="28">
        <f t="shared" si="6"/>
        <v>6450000</v>
      </c>
      <c r="L30" s="27">
        <v>0</v>
      </c>
      <c r="M30" s="28">
        <v>75000</v>
      </c>
      <c r="N30" s="28">
        <f t="shared" si="7"/>
        <v>0</v>
      </c>
      <c r="O30" s="29">
        <f t="shared" si="5"/>
        <v>0</v>
      </c>
    </row>
    <row r="31" spans="2:15" ht="15.75">
      <c r="B31" s="22"/>
      <c r="C31" s="23"/>
      <c r="D31" s="24" t="s">
        <v>22</v>
      </c>
      <c r="E31" s="25" t="s">
        <v>23</v>
      </c>
      <c r="F31" s="24"/>
      <c r="G31" s="24"/>
      <c r="H31" s="26"/>
      <c r="I31" s="27">
        <v>360</v>
      </c>
      <c r="J31" s="28">
        <v>30000</v>
      </c>
      <c r="K31" s="28">
        <f t="shared" si="6"/>
        <v>10800000</v>
      </c>
      <c r="L31" s="27">
        <v>10</v>
      </c>
      <c r="M31" s="28">
        <v>30000</v>
      </c>
      <c r="N31" s="28">
        <f t="shared" si="7"/>
        <v>300000</v>
      </c>
      <c r="O31" s="29">
        <f t="shared" si="5"/>
        <v>2.7777777777777776E-2</v>
      </c>
    </row>
    <row r="32" spans="2:15" ht="15.75">
      <c r="B32" s="22"/>
      <c r="C32" s="23"/>
      <c r="D32" s="24" t="s">
        <v>24</v>
      </c>
      <c r="E32" s="25" t="s">
        <v>25</v>
      </c>
      <c r="F32" s="24"/>
      <c r="G32" s="24"/>
      <c r="H32" s="26"/>
      <c r="I32" s="27">
        <v>28</v>
      </c>
      <c r="J32" s="28">
        <v>30000</v>
      </c>
      <c r="K32" s="28">
        <f t="shared" si="6"/>
        <v>840000</v>
      </c>
      <c r="L32" s="27">
        <v>0</v>
      </c>
      <c r="M32" s="28">
        <v>30000</v>
      </c>
      <c r="N32" s="28">
        <f t="shared" si="7"/>
        <v>0</v>
      </c>
      <c r="O32" s="29">
        <f t="shared" si="5"/>
        <v>0</v>
      </c>
    </row>
    <row r="33" spans="2:15" ht="15.75">
      <c r="B33" s="22"/>
      <c r="C33" s="23"/>
      <c r="D33" s="24" t="s">
        <v>26</v>
      </c>
      <c r="E33" s="25" t="s">
        <v>29</v>
      </c>
      <c r="F33" s="24"/>
      <c r="G33" s="24"/>
      <c r="H33" s="26"/>
      <c r="I33" s="27">
        <v>0</v>
      </c>
      <c r="J33" s="28">
        <v>225000</v>
      </c>
      <c r="K33" s="28">
        <f t="shared" si="6"/>
        <v>0</v>
      </c>
      <c r="L33" s="27">
        <v>0</v>
      </c>
      <c r="M33" s="28">
        <v>225000</v>
      </c>
      <c r="N33" s="28">
        <f t="shared" si="7"/>
        <v>0</v>
      </c>
      <c r="O33" s="29"/>
    </row>
    <row r="34" spans="2:15" ht="15.75">
      <c r="B34" s="22"/>
      <c r="C34" s="23"/>
      <c r="D34" s="24"/>
      <c r="E34" s="25"/>
      <c r="F34" s="24"/>
      <c r="G34" s="24"/>
      <c r="H34" s="26"/>
      <c r="I34" s="40"/>
      <c r="J34" s="28"/>
      <c r="K34" s="41"/>
      <c r="L34" s="40"/>
      <c r="M34" s="28"/>
      <c r="N34" s="41"/>
      <c r="O34" s="29"/>
    </row>
    <row r="35" spans="2:15" ht="15.75">
      <c r="B35" s="31"/>
      <c r="C35" s="32">
        <v>3</v>
      </c>
      <c r="D35" s="33" t="s">
        <v>30</v>
      </c>
      <c r="E35" s="42"/>
      <c r="F35" s="42"/>
      <c r="G35" s="42"/>
      <c r="H35" s="43"/>
      <c r="I35" s="36">
        <v>100000</v>
      </c>
      <c r="J35" s="38">
        <v>50000</v>
      </c>
      <c r="K35" s="38">
        <f>I35*J35</f>
        <v>5000000000</v>
      </c>
      <c r="L35" s="36">
        <v>5619</v>
      </c>
      <c r="M35" s="38">
        <v>50000</v>
      </c>
      <c r="N35" s="38">
        <f>L35*M35</f>
        <v>280950000</v>
      </c>
      <c r="O35" s="39">
        <f>N35/K35</f>
        <v>5.6189999999999997E-2</v>
      </c>
    </row>
    <row r="36" spans="2:15" ht="15.75">
      <c r="B36" s="22"/>
      <c r="C36" s="44"/>
      <c r="D36" s="45"/>
      <c r="E36" s="24"/>
      <c r="F36" s="24"/>
      <c r="G36" s="24"/>
      <c r="H36" s="26"/>
      <c r="I36" s="46"/>
      <c r="J36" s="28"/>
      <c r="K36" s="41"/>
      <c r="L36" s="46"/>
      <c r="M36" s="28"/>
      <c r="N36" s="41"/>
      <c r="O36" s="29"/>
    </row>
    <row r="37" spans="2:15" ht="15.75">
      <c r="B37" s="31"/>
      <c r="C37" s="32">
        <v>4</v>
      </c>
      <c r="D37" s="33" t="s">
        <v>31</v>
      </c>
      <c r="E37" s="34"/>
      <c r="F37" s="34"/>
      <c r="G37" s="34"/>
      <c r="H37" s="35"/>
      <c r="I37" s="36">
        <v>6000000</v>
      </c>
      <c r="J37" s="37"/>
      <c r="K37" s="38">
        <f>+K38+K41</f>
        <v>727309900000</v>
      </c>
      <c r="L37" s="36">
        <f>L38+L41</f>
        <v>240344</v>
      </c>
      <c r="M37" s="37"/>
      <c r="N37" s="38">
        <f>+N38+N41</f>
        <v>28202400000</v>
      </c>
      <c r="O37" s="39">
        <f t="shared" ref="O37:O43" si="8">N37/K37</f>
        <v>3.8776318045443903E-2</v>
      </c>
    </row>
    <row r="38" spans="2:15" ht="15.75">
      <c r="B38" s="22"/>
      <c r="C38" s="23"/>
      <c r="D38" s="47" t="s">
        <v>10</v>
      </c>
      <c r="E38" s="45" t="s">
        <v>32</v>
      </c>
      <c r="F38" s="24"/>
      <c r="G38" s="24"/>
      <c r="H38" s="26"/>
      <c r="I38" s="48">
        <v>4726901</v>
      </c>
      <c r="J38" s="49"/>
      <c r="K38" s="50">
        <f t="shared" ref="K38:L38" si="9">SUM(K39:K40)</f>
        <v>472690100000</v>
      </c>
      <c r="L38" s="48">
        <f t="shared" si="9"/>
        <v>198664</v>
      </c>
      <c r="M38" s="49"/>
      <c r="N38" s="50">
        <f>SUM(N39:N40)</f>
        <v>19866400000</v>
      </c>
      <c r="O38" s="29">
        <f t="shared" si="8"/>
        <v>4.2028381808715688E-2</v>
      </c>
    </row>
    <row r="39" spans="2:15" ht="15.75">
      <c r="B39" s="22"/>
      <c r="C39" s="23"/>
      <c r="D39" s="24"/>
      <c r="E39" s="24" t="s">
        <v>33</v>
      </c>
      <c r="F39" s="25" t="s">
        <v>34</v>
      </c>
      <c r="G39" s="24"/>
      <c r="H39" s="26"/>
      <c r="I39" s="27">
        <v>2267860</v>
      </c>
      <c r="J39" s="28">
        <v>100000</v>
      </c>
      <c r="K39" s="28">
        <f t="shared" ref="K39:K40" si="10">I39*J39</f>
        <v>226786000000</v>
      </c>
      <c r="L39" s="27">
        <v>53665</v>
      </c>
      <c r="M39" s="28">
        <v>100000</v>
      </c>
      <c r="N39" s="28">
        <f t="shared" ref="N39:N40" si="11">L39*M39</f>
        <v>5366500000</v>
      </c>
      <c r="O39" s="29">
        <f t="shared" si="8"/>
        <v>2.3663277274611309E-2</v>
      </c>
    </row>
    <row r="40" spans="2:15" ht="15.75">
      <c r="B40" s="22"/>
      <c r="C40" s="23"/>
      <c r="D40" s="24"/>
      <c r="E40" s="24" t="s">
        <v>35</v>
      </c>
      <c r="F40" s="25" t="s">
        <v>36</v>
      </c>
      <c r="G40" s="24"/>
      <c r="H40" s="26"/>
      <c r="I40" s="27">
        <v>2459041</v>
      </c>
      <c r="J40" s="28">
        <v>100000</v>
      </c>
      <c r="K40" s="28">
        <f t="shared" si="10"/>
        <v>245904100000</v>
      </c>
      <c r="L40" s="27">
        <v>144999</v>
      </c>
      <c r="M40" s="28">
        <v>100000</v>
      </c>
      <c r="N40" s="28">
        <f t="shared" si="11"/>
        <v>14499900000</v>
      </c>
      <c r="O40" s="29">
        <f t="shared" si="8"/>
        <v>5.8965669950196031E-2</v>
      </c>
    </row>
    <row r="41" spans="2:15" ht="15.75">
      <c r="B41" s="22"/>
      <c r="C41" s="23"/>
      <c r="D41" s="47" t="s">
        <v>12</v>
      </c>
      <c r="E41" s="45" t="s">
        <v>37</v>
      </c>
      <c r="F41" s="24"/>
      <c r="G41" s="24"/>
      <c r="H41" s="26"/>
      <c r="I41" s="48">
        <v>1273099</v>
      </c>
      <c r="J41" s="49"/>
      <c r="K41" s="50">
        <f t="shared" ref="K41:L41" si="12">SUM(K42:K43)</f>
        <v>254619800000</v>
      </c>
      <c r="L41" s="48">
        <f t="shared" si="12"/>
        <v>41680</v>
      </c>
      <c r="M41" s="49"/>
      <c r="N41" s="50">
        <f>SUM(N42:N43)</f>
        <v>8336000000</v>
      </c>
      <c r="O41" s="29">
        <f t="shared" si="8"/>
        <v>3.2739009299355352E-2</v>
      </c>
    </row>
    <row r="42" spans="2:15" ht="15.75">
      <c r="B42" s="22"/>
      <c r="C42" s="23"/>
      <c r="D42" s="24"/>
      <c r="E42" s="24" t="s">
        <v>33</v>
      </c>
      <c r="F42" s="25" t="s">
        <v>34</v>
      </c>
      <c r="G42" s="24"/>
      <c r="H42" s="26"/>
      <c r="I42" s="27">
        <v>626781</v>
      </c>
      <c r="J42" s="28">
        <v>200000</v>
      </c>
      <c r="K42" s="28">
        <f t="shared" ref="K42:K43" si="13">I42*J42</f>
        <v>125356200000</v>
      </c>
      <c r="L42" s="27">
        <v>6835</v>
      </c>
      <c r="M42" s="28">
        <v>200000</v>
      </c>
      <c r="N42" s="28">
        <f t="shared" ref="N42:N43" si="14">L42*M42</f>
        <v>1367000000</v>
      </c>
      <c r="O42" s="29">
        <f t="shared" si="8"/>
        <v>1.0904925324794465E-2</v>
      </c>
    </row>
    <row r="43" spans="2:15" ht="15.75">
      <c r="B43" s="22"/>
      <c r="C43" s="23"/>
      <c r="D43" s="24"/>
      <c r="E43" s="24" t="s">
        <v>35</v>
      </c>
      <c r="F43" s="25" t="s">
        <v>36</v>
      </c>
      <c r="G43" s="24"/>
      <c r="H43" s="26"/>
      <c r="I43" s="27">
        <v>646318</v>
      </c>
      <c r="J43" s="28">
        <v>200000</v>
      </c>
      <c r="K43" s="28">
        <f t="shared" si="13"/>
        <v>129263600000</v>
      </c>
      <c r="L43" s="27">
        <v>34845</v>
      </c>
      <c r="M43" s="28">
        <v>200000</v>
      </c>
      <c r="N43" s="28">
        <f t="shared" si="14"/>
        <v>6969000000</v>
      </c>
      <c r="O43" s="29">
        <f t="shared" si="8"/>
        <v>5.3913089222333281E-2</v>
      </c>
    </row>
    <row r="44" spans="2:15" ht="15.75">
      <c r="B44" s="22"/>
      <c r="C44" s="23"/>
      <c r="D44" s="24"/>
      <c r="E44" s="25"/>
      <c r="F44" s="24"/>
      <c r="G44" s="24"/>
      <c r="H44" s="26"/>
      <c r="I44" s="27"/>
      <c r="J44" s="49"/>
      <c r="K44" s="41"/>
      <c r="L44" s="27"/>
      <c r="M44" s="49"/>
      <c r="N44" s="41"/>
      <c r="O44" s="29"/>
    </row>
    <row r="45" spans="2:15" ht="15.75">
      <c r="B45" s="60"/>
      <c r="C45" s="61">
        <v>5</v>
      </c>
      <c r="D45" s="62" t="s">
        <v>38</v>
      </c>
      <c r="E45" s="63"/>
      <c r="F45" s="63"/>
      <c r="G45" s="63"/>
      <c r="H45" s="64"/>
      <c r="I45" s="65">
        <v>6000000</v>
      </c>
      <c r="J45" s="66"/>
      <c r="K45" s="65">
        <f>SUM(K46,K47)</f>
        <v>411586320000</v>
      </c>
      <c r="L45" s="65">
        <f>SUM(L46:L47)</f>
        <v>234176</v>
      </c>
      <c r="M45" s="66"/>
      <c r="N45" s="65">
        <f>SUM(N46,N47)</f>
        <v>15689680000</v>
      </c>
      <c r="O45" s="67">
        <f>N45/K45</f>
        <v>3.8120023036722891E-2</v>
      </c>
    </row>
    <row r="46" spans="2:15" ht="15.75">
      <c r="B46" s="22"/>
      <c r="C46" s="23"/>
      <c r="D46" s="24" t="s">
        <v>10</v>
      </c>
      <c r="E46" s="25" t="s">
        <v>39</v>
      </c>
      <c r="F46" s="24"/>
      <c r="G46" s="24"/>
      <c r="H46" s="26"/>
      <c r="I46" s="48">
        <v>4710342</v>
      </c>
      <c r="J46" s="28">
        <v>60000</v>
      </c>
      <c r="K46" s="27">
        <f>I46*J46</f>
        <v>282620520000</v>
      </c>
      <c r="L46" s="27">
        <v>193198</v>
      </c>
      <c r="M46" s="28">
        <v>60000</v>
      </c>
      <c r="N46" s="28">
        <f>L46*M46</f>
        <v>11591880000</v>
      </c>
      <c r="O46" s="29">
        <f>N46/K46</f>
        <v>4.1015705441345869E-2</v>
      </c>
    </row>
    <row r="47" spans="2:15" ht="15.75">
      <c r="B47" s="22"/>
      <c r="C47" s="23"/>
      <c r="D47" s="24" t="s">
        <v>12</v>
      </c>
      <c r="E47" s="25" t="s">
        <v>40</v>
      </c>
      <c r="F47" s="24"/>
      <c r="G47" s="24"/>
      <c r="H47" s="26"/>
      <c r="I47" s="27">
        <v>1289658</v>
      </c>
      <c r="J47" s="28">
        <v>100000</v>
      </c>
      <c r="K47" s="28">
        <f>I47*J47</f>
        <v>128965800000</v>
      </c>
      <c r="L47" s="27">
        <v>40978</v>
      </c>
      <c r="M47" s="28">
        <v>100000</v>
      </c>
      <c r="N47" s="28">
        <f>L47*M47</f>
        <v>4097800000</v>
      </c>
      <c r="O47" s="29">
        <f>N47/K47</f>
        <v>3.1774315361126751E-2</v>
      </c>
    </row>
    <row r="48" spans="2:15" ht="15.75">
      <c r="B48" s="51"/>
      <c r="C48" s="52"/>
      <c r="D48" s="53"/>
      <c r="E48" s="53"/>
      <c r="F48" s="54"/>
      <c r="G48" s="53"/>
      <c r="H48" s="55"/>
      <c r="I48" s="56"/>
      <c r="J48" s="57"/>
      <c r="K48" s="58"/>
      <c r="L48" s="56"/>
      <c r="M48" s="57"/>
      <c r="N48" s="58"/>
      <c r="O48" s="59"/>
    </row>
    <row r="49" spans="2:15" ht="15.75">
      <c r="B49" s="31"/>
      <c r="C49" s="32">
        <v>6</v>
      </c>
      <c r="D49" s="33" t="s">
        <v>41</v>
      </c>
      <c r="E49" s="34"/>
      <c r="F49" s="34"/>
      <c r="G49" s="34"/>
      <c r="H49" s="35"/>
      <c r="I49" s="36">
        <v>1500000</v>
      </c>
      <c r="J49" s="37"/>
      <c r="K49" s="38">
        <f t="shared" ref="K49:L49" si="15">SUM(K50:K51)</f>
        <v>43861750000</v>
      </c>
      <c r="L49" s="36">
        <f t="shared" si="15"/>
        <v>61579</v>
      </c>
      <c r="M49" s="37"/>
      <c r="N49" s="38">
        <f>SUM(N50:N51)</f>
        <v>1726600000</v>
      </c>
      <c r="O49" s="39">
        <f t="shared" ref="O49:O51" si="16">N49/K49</f>
        <v>3.936459443592652E-2</v>
      </c>
    </row>
    <row r="50" spans="2:15" ht="15.75">
      <c r="B50" s="22"/>
      <c r="C50" s="23"/>
      <c r="D50" s="24" t="s">
        <v>10</v>
      </c>
      <c r="E50" s="25" t="s">
        <v>39</v>
      </c>
      <c r="F50" s="24"/>
      <c r="G50" s="24"/>
      <c r="H50" s="26"/>
      <c r="I50" s="27">
        <v>1245530</v>
      </c>
      <c r="J50" s="28">
        <v>25000</v>
      </c>
      <c r="K50" s="28">
        <f t="shared" ref="K50:K51" si="17">I50*J50</f>
        <v>31138250000</v>
      </c>
      <c r="L50" s="27">
        <v>54094</v>
      </c>
      <c r="M50" s="28">
        <v>25000</v>
      </c>
      <c r="N50" s="28">
        <f t="shared" ref="N50:N51" si="18">L50*M50</f>
        <v>1352350000</v>
      </c>
      <c r="O50" s="29">
        <f t="shared" si="16"/>
        <v>4.3430507494801408E-2</v>
      </c>
    </row>
    <row r="51" spans="2:15" ht="15.75">
      <c r="B51" s="22"/>
      <c r="C51" s="23"/>
      <c r="D51" s="24" t="s">
        <v>12</v>
      </c>
      <c r="E51" s="25" t="s">
        <v>40</v>
      </c>
      <c r="F51" s="24"/>
      <c r="G51" s="24"/>
      <c r="H51" s="26"/>
      <c r="I51" s="27">
        <v>254470</v>
      </c>
      <c r="J51" s="28">
        <v>50000</v>
      </c>
      <c r="K51" s="28">
        <f t="shared" si="17"/>
        <v>12723500000</v>
      </c>
      <c r="L51" s="27">
        <v>7485</v>
      </c>
      <c r="M51" s="28">
        <v>50000</v>
      </c>
      <c r="N51" s="28">
        <f t="shared" si="18"/>
        <v>374250000</v>
      </c>
      <c r="O51" s="29">
        <f t="shared" si="16"/>
        <v>2.941407631547923E-2</v>
      </c>
    </row>
    <row r="52" spans="2:15" ht="15.75">
      <c r="B52" s="22"/>
      <c r="C52" s="23"/>
      <c r="D52" s="24"/>
      <c r="E52" s="25"/>
      <c r="F52" s="24"/>
      <c r="G52" s="24"/>
      <c r="H52" s="26"/>
      <c r="I52" s="27"/>
      <c r="J52" s="28"/>
      <c r="K52" s="28"/>
      <c r="L52" s="27"/>
      <c r="M52" s="28"/>
      <c r="N52" s="28"/>
      <c r="O52" s="29"/>
    </row>
    <row r="53" spans="2:15" ht="15.75">
      <c r="B53" s="31"/>
      <c r="C53" s="32">
        <v>7</v>
      </c>
      <c r="D53" s="33" t="s">
        <v>42</v>
      </c>
      <c r="E53" s="34"/>
      <c r="F53" s="34"/>
      <c r="G53" s="34"/>
      <c r="H53" s="35"/>
      <c r="I53" s="36">
        <v>75000</v>
      </c>
      <c r="J53" s="37"/>
      <c r="K53" s="38">
        <f t="shared" ref="K53:L53" si="19">SUM(K54:K55)</f>
        <v>5024800000</v>
      </c>
      <c r="L53" s="36">
        <f t="shared" si="19"/>
        <v>5225</v>
      </c>
      <c r="M53" s="37"/>
      <c r="N53" s="38">
        <f>SUM(N54:N55)</f>
        <v>367340000</v>
      </c>
      <c r="O53" s="39">
        <f t="shared" ref="O53:O55" si="20">N53/K53</f>
        <v>7.3105397229740493E-2</v>
      </c>
    </row>
    <row r="54" spans="2:15" ht="15.75">
      <c r="B54" s="22"/>
      <c r="C54" s="23"/>
      <c r="D54" s="24" t="s">
        <v>10</v>
      </c>
      <c r="E54" s="25" t="s">
        <v>39</v>
      </c>
      <c r="F54" s="24"/>
      <c r="G54" s="24"/>
      <c r="H54" s="26"/>
      <c r="I54" s="27">
        <v>61880</v>
      </c>
      <c r="J54" s="28">
        <v>60000</v>
      </c>
      <c r="K54" s="28">
        <f t="shared" ref="K54:K55" si="21">I54*J54</f>
        <v>3712800000</v>
      </c>
      <c r="L54" s="27">
        <v>3879</v>
      </c>
      <c r="M54" s="28">
        <v>60000</v>
      </c>
      <c r="N54" s="28">
        <f t="shared" ref="N54:N55" si="22">L54*M54</f>
        <v>232740000</v>
      </c>
      <c r="O54" s="29">
        <f t="shared" si="20"/>
        <v>6.2685843568196509E-2</v>
      </c>
    </row>
    <row r="55" spans="2:15" ht="15.75">
      <c r="B55" s="22"/>
      <c r="C55" s="23"/>
      <c r="D55" s="24" t="s">
        <v>12</v>
      </c>
      <c r="E55" s="25" t="s">
        <v>40</v>
      </c>
      <c r="F55" s="24"/>
      <c r="G55" s="24"/>
      <c r="H55" s="26"/>
      <c r="I55" s="27">
        <v>13120</v>
      </c>
      <c r="J55" s="28">
        <v>100000</v>
      </c>
      <c r="K55" s="28">
        <f t="shared" si="21"/>
        <v>1312000000</v>
      </c>
      <c r="L55" s="27">
        <v>1346</v>
      </c>
      <c r="M55" s="28">
        <v>100000</v>
      </c>
      <c r="N55" s="28">
        <f t="shared" si="22"/>
        <v>134600000</v>
      </c>
      <c r="O55" s="29">
        <f t="shared" si="20"/>
        <v>0.10259146341463414</v>
      </c>
    </row>
    <row r="56" spans="2:15" ht="15.75">
      <c r="B56" s="22"/>
      <c r="C56" s="23"/>
      <c r="D56" s="24"/>
      <c r="E56" s="25"/>
      <c r="F56" s="24"/>
      <c r="G56" s="24"/>
      <c r="H56" s="26"/>
      <c r="I56" s="27"/>
      <c r="J56" s="49"/>
      <c r="K56" s="41"/>
      <c r="L56" s="27"/>
      <c r="M56" s="49"/>
      <c r="N56" s="41"/>
      <c r="O56" s="29"/>
    </row>
    <row r="57" spans="2:15" ht="15.75">
      <c r="B57" s="31"/>
      <c r="C57" s="32">
        <v>8</v>
      </c>
      <c r="D57" s="33" t="s">
        <v>43</v>
      </c>
      <c r="E57" s="34"/>
      <c r="F57" s="34"/>
      <c r="G57" s="34"/>
      <c r="H57" s="35"/>
      <c r="I57" s="36">
        <v>2400000</v>
      </c>
      <c r="J57" s="37"/>
      <c r="K57" s="38">
        <f t="shared" ref="K57:L57" si="23">+K58+K61</f>
        <v>607771500000</v>
      </c>
      <c r="L57" s="36">
        <f t="shared" si="23"/>
        <v>94886</v>
      </c>
      <c r="M57" s="37"/>
      <c r="N57" s="38">
        <f>+N58+N61</f>
        <v>24041850000</v>
      </c>
      <c r="O57" s="39">
        <f t="shared" ref="O57:O63" si="24">N57/K57</f>
        <v>3.9557382996734794E-2</v>
      </c>
    </row>
    <row r="58" spans="2:15" ht="15.75">
      <c r="B58" s="22"/>
      <c r="C58" s="23"/>
      <c r="D58" s="47" t="s">
        <v>10</v>
      </c>
      <c r="E58" s="45" t="s">
        <v>32</v>
      </c>
      <c r="F58" s="24"/>
      <c r="G58" s="24"/>
      <c r="H58" s="26"/>
      <c r="I58" s="48">
        <v>1948190</v>
      </c>
      <c r="J58" s="49"/>
      <c r="K58" s="50">
        <f t="shared" ref="K58:L58" si="25">K59+K60</f>
        <v>438342750000</v>
      </c>
      <c r="L58" s="48">
        <f t="shared" si="25"/>
        <v>76936</v>
      </c>
      <c r="M58" s="49"/>
      <c r="N58" s="50">
        <f>N59+N60</f>
        <v>17310600000</v>
      </c>
      <c r="O58" s="29">
        <f t="shared" si="24"/>
        <v>3.9491014736755654E-2</v>
      </c>
    </row>
    <row r="59" spans="2:15" ht="15.75">
      <c r="B59" s="22"/>
      <c r="C59" s="23"/>
      <c r="D59" s="24"/>
      <c r="E59" s="24" t="s">
        <v>33</v>
      </c>
      <c r="F59" s="25" t="s">
        <v>34</v>
      </c>
      <c r="G59" s="24"/>
      <c r="H59" s="26"/>
      <c r="I59" s="27">
        <v>1619192</v>
      </c>
      <c r="J59" s="28">
        <v>225000</v>
      </c>
      <c r="K59" s="28">
        <f t="shared" ref="K59:K60" si="26">I59*J59</f>
        <v>364318200000</v>
      </c>
      <c r="L59" s="27">
        <v>53975</v>
      </c>
      <c r="M59" s="28">
        <v>225000</v>
      </c>
      <c r="N59" s="28">
        <f t="shared" ref="N59:N60" si="27">L59*M59</f>
        <v>12144375000</v>
      </c>
      <c r="O59" s="29">
        <f t="shared" si="24"/>
        <v>3.3334527344502693E-2</v>
      </c>
    </row>
    <row r="60" spans="2:15" ht="15.75">
      <c r="B60" s="22"/>
      <c r="C60" s="23"/>
      <c r="D60" s="24"/>
      <c r="E60" s="24" t="s">
        <v>35</v>
      </c>
      <c r="F60" s="25" t="s">
        <v>44</v>
      </c>
      <c r="G60" s="24"/>
      <c r="H60" s="26"/>
      <c r="I60" s="27">
        <v>328998</v>
      </c>
      <c r="J60" s="28">
        <v>225000</v>
      </c>
      <c r="K60" s="28">
        <f t="shared" si="26"/>
        <v>74024550000</v>
      </c>
      <c r="L60" s="27">
        <v>22961</v>
      </c>
      <c r="M60" s="28">
        <v>225000</v>
      </c>
      <c r="N60" s="28">
        <f t="shared" si="27"/>
        <v>5166225000</v>
      </c>
      <c r="O60" s="29">
        <f t="shared" si="24"/>
        <v>6.9790697815792196E-2</v>
      </c>
    </row>
    <row r="61" spans="2:15" ht="15.75">
      <c r="B61" s="22"/>
      <c r="C61" s="23"/>
      <c r="D61" s="47" t="s">
        <v>12</v>
      </c>
      <c r="E61" s="45" t="s">
        <v>40</v>
      </c>
      <c r="F61" s="24"/>
      <c r="G61" s="24"/>
      <c r="H61" s="26"/>
      <c r="I61" s="48">
        <v>451810</v>
      </c>
      <c r="J61" s="49"/>
      <c r="K61" s="48">
        <f t="shared" ref="K61:L61" si="28">K62+K63</f>
        <v>169428750000</v>
      </c>
      <c r="L61" s="48">
        <f t="shared" si="28"/>
        <v>17950</v>
      </c>
      <c r="M61" s="49"/>
      <c r="N61" s="48">
        <f>N62+N63</f>
        <v>6731250000</v>
      </c>
      <c r="O61" s="29">
        <f t="shared" si="24"/>
        <v>3.9729089661583408E-2</v>
      </c>
    </row>
    <row r="62" spans="2:15" ht="15.75">
      <c r="B62" s="22"/>
      <c r="C62" s="23"/>
      <c r="D62" s="24"/>
      <c r="E62" s="24" t="s">
        <v>33</v>
      </c>
      <c r="F62" s="25" t="s">
        <v>34</v>
      </c>
      <c r="G62" s="24"/>
      <c r="H62" s="26"/>
      <c r="I62" s="27">
        <v>319858</v>
      </c>
      <c r="J62" s="28">
        <v>375000</v>
      </c>
      <c r="K62" s="28">
        <f t="shared" ref="K62:K63" si="29">I62*J62</f>
        <v>119946750000</v>
      </c>
      <c r="L62" s="27">
        <v>7001</v>
      </c>
      <c r="M62" s="28">
        <v>375000</v>
      </c>
      <c r="N62" s="28">
        <f t="shared" ref="N62:N63" si="30">L62*M62</f>
        <v>2625375000</v>
      </c>
      <c r="O62" s="29">
        <f t="shared" si="24"/>
        <v>2.1887837727991796E-2</v>
      </c>
    </row>
    <row r="63" spans="2:15" ht="15.75">
      <c r="B63" s="22"/>
      <c r="C63" s="23"/>
      <c r="D63" s="24"/>
      <c r="E63" s="24" t="s">
        <v>35</v>
      </c>
      <c r="F63" s="25" t="s">
        <v>44</v>
      </c>
      <c r="G63" s="24"/>
      <c r="H63" s="26"/>
      <c r="I63" s="27">
        <v>131952</v>
      </c>
      <c r="J63" s="28">
        <v>375000</v>
      </c>
      <c r="K63" s="28">
        <f t="shared" si="29"/>
        <v>49482000000</v>
      </c>
      <c r="L63" s="27">
        <v>10949</v>
      </c>
      <c r="M63" s="28">
        <v>375000</v>
      </c>
      <c r="N63" s="28">
        <f t="shared" si="30"/>
        <v>4105875000</v>
      </c>
      <c r="O63" s="29">
        <f t="shared" si="24"/>
        <v>8.297714320358919E-2</v>
      </c>
    </row>
    <row r="64" spans="2:15" ht="15.75">
      <c r="B64" s="22"/>
      <c r="C64" s="23"/>
      <c r="D64" s="24"/>
      <c r="E64" s="24"/>
      <c r="F64" s="25"/>
      <c r="G64" s="24"/>
      <c r="H64" s="26"/>
      <c r="I64" s="27"/>
      <c r="J64" s="49"/>
      <c r="K64" s="41"/>
      <c r="L64" s="27"/>
      <c r="M64" s="49"/>
      <c r="N64" s="41"/>
      <c r="O64" s="29"/>
    </row>
    <row r="65" spans="2:15" ht="15.75">
      <c r="B65" s="31"/>
      <c r="C65" s="32">
        <v>9</v>
      </c>
      <c r="D65" s="33" t="s">
        <v>45</v>
      </c>
      <c r="E65" s="34"/>
      <c r="F65" s="34"/>
      <c r="G65" s="34"/>
      <c r="H65" s="35"/>
      <c r="I65" s="36">
        <v>250000</v>
      </c>
      <c r="J65" s="37"/>
      <c r="K65" s="38">
        <f t="shared" ref="K65:L65" si="31">SUM(K66:K67)</f>
        <v>50337200000</v>
      </c>
      <c r="L65" s="36">
        <f t="shared" si="31"/>
        <v>12015</v>
      </c>
      <c r="M65" s="37"/>
      <c r="N65" s="38">
        <f>SUM(N66:N67)</f>
        <v>2401350000</v>
      </c>
      <c r="O65" s="39">
        <f t="shared" ref="O65:O67" si="32">N65/K65</f>
        <v>4.7705275621210554E-2</v>
      </c>
    </row>
    <row r="66" spans="2:15" ht="15.75">
      <c r="B66" s="22"/>
      <c r="C66" s="23"/>
      <c r="D66" s="24" t="s">
        <v>10</v>
      </c>
      <c r="E66" s="25" t="s">
        <v>46</v>
      </c>
      <c r="F66" s="24"/>
      <c r="G66" s="24"/>
      <c r="H66" s="26"/>
      <c r="I66" s="27">
        <v>121628</v>
      </c>
      <c r="J66" s="28">
        <v>150000</v>
      </c>
      <c r="K66" s="28">
        <f t="shared" ref="K66:K67" si="33">I66*J66</f>
        <v>18244200000</v>
      </c>
      <c r="L66" s="27">
        <v>6024</v>
      </c>
      <c r="M66" s="28">
        <v>150000</v>
      </c>
      <c r="N66" s="28">
        <f t="shared" ref="N66:N67" si="34">L66*M66</f>
        <v>903600000</v>
      </c>
      <c r="O66" s="29">
        <f t="shared" si="32"/>
        <v>4.9528069194593349E-2</v>
      </c>
    </row>
    <row r="67" spans="2:15" ht="15.75">
      <c r="B67" s="22"/>
      <c r="C67" s="23"/>
      <c r="D67" s="24" t="s">
        <v>12</v>
      </c>
      <c r="E67" s="25" t="s">
        <v>40</v>
      </c>
      <c r="F67" s="24"/>
      <c r="G67" s="24"/>
      <c r="H67" s="26"/>
      <c r="I67" s="27">
        <v>128372</v>
      </c>
      <c r="J67" s="28">
        <v>250000</v>
      </c>
      <c r="K67" s="28">
        <f t="shared" si="33"/>
        <v>32093000000</v>
      </c>
      <c r="L67" s="27">
        <v>5991</v>
      </c>
      <c r="M67" s="28">
        <v>250000</v>
      </c>
      <c r="N67" s="28">
        <f t="shared" si="34"/>
        <v>1497750000</v>
      </c>
      <c r="O67" s="29">
        <f t="shared" si="32"/>
        <v>4.6669055557286634E-2</v>
      </c>
    </row>
    <row r="68" spans="2:15" ht="15.75">
      <c r="B68" s="22"/>
      <c r="C68" s="23"/>
      <c r="D68" s="24"/>
      <c r="E68" s="25"/>
      <c r="F68" s="24"/>
      <c r="G68" s="24"/>
      <c r="H68" s="26"/>
      <c r="I68" s="46"/>
      <c r="J68" s="49"/>
      <c r="K68" s="41"/>
      <c r="L68" s="46"/>
      <c r="M68" s="49"/>
      <c r="N68" s="41"/>
      <c r="O68" s="29"/>
    </row>
    <row r="69" spans="2:15" ht="15.75">
      <c r="B69" s="31"/>
      <c r="C69" s="32">
        <v>10</v>
      </c>
      <c r="D69" s="33" t="s">
        <v>47</v>
      </c>
      <c r="E69" s="34"/>
      <c r="F69" s="34"/>
      <c r="G69" s="34"/>
      <c r="H69" s="35"/>
      <c r="I69" s="36">
        <v>0</v>
      </c>
      <c r="J69" s="37"/>
      <c r="K69" s="38">
        <f t="shared" ref="K69:L69" si="35">+K70+K73</f>
        <v>0</v>
      </c>
      <c r="L69" s="36">
        <f t="shared" si="35"/>
        <v>0</v>
      </c>
      <c r="M69" s="37"/>
      <c r="N69" s="38">
        <f>+N70+N73</f>
        <v>0</v>
      </c>
      <c r="O69" s="39" t="e">
        <f t="shared" ref="O69:O75" si="36">N69/K69</f>
        <v>#DIV/0!</v>
      </c>
    </row>
    <row r="70" spans="2:15" ht="15.75">
      <c r="B70" s="22"/>
      <c r="C70" s="23"/>
      <c r="D70" s="47" t="s">
        <v>10</v>
      </c>
      <c r="E70" s="45" t="s">
        <v>46</v>
      </c>
      <c r="F70" s="24"/>
      <c r="G70" s="24"/>
      <c r="H70" s="26"/>
      <c r="I70" s="48">
        <v>0</v>
      </c>
      <c r="J70" s="49"/>
      <c r="K70" s="50">
        <f t="shared" ref="K70:L70" si="37">SUM(K71:K72)</f>
        <v>0</v>
      </c>
      <c r="L70" s="48">
        <f t="shared" si="37"/>
        <v>0</v>
      </c>
      <c r="M70" s="49"/>
      <c r="N70" s="50">
        <f>SUM(N71:N72)</f>
        <v>0</v>
      </c>
      <c r="O70" s="29" t="e">
        <f t="shared" si="36"/>
        <v>#DIV/0!</v>
      </c>
    </row>
    <row r="71" spans="2:15" ht="15.75">
      <c r="B71" s="22"/>
      <c r="C71" s="23"/>
      <c r="D71" s="24"/>
      <c r="E71" s="24" t="s">
        <v>33</v>
      </c>
      <c r="F71" s="25" t="s">
        <v>34</v>
      </c>
      <c r="G71" s="24"/>
      <c r="H71" s="26"/>
      <c r="I71" s="27">
        <v>0</v>
      </c>
      <c r="J71" s="28">
        <v>100000</v>
      </c>
      <c r="K71" s="28">
        <f t="shared" ref="K71:K72" si="38">I71*J71</f>
        <v>0</v>
      </c>
      <c r="L71" s="27">
        <f>'[1]L. MAT 09 STNKLBN'!G16</f>
        <v>0</v>
      </c>
      <c r="M71" s="28">
        <v>100000</v>
      </c>
      <c r="N71" s="28">
        <f t="shared" ref="N71:N72" si="39">L71*M71</f>
        <v>0</v>
      </c>
      <c r="O71" s="29" t="e">
        <f t="shared" si="36"/>
        <v>#DIV/0!</v>
      </c>
    </row>
    <row r="72" spans="2:15" ht="15.75">
      <c r="B72" s="22"/>
      <c r="C72" s="23"/>
      <c r="D72" s="24"/>
      <c r="E72" s="24" t="s">
        <v>35</v>
      </c>
      <c r="F72" s="25" t="s">
        <v>36</v>
      </c>
      <c r="G72" s="24"/>
      <c r="H72" s="26"/>
      <c r="I72" s="27">
        <v>0</v>
      </c>
      <c r="J72" s="28">
        <v>100000</v>
      </c>
      <c r="K72" s="28">
        <f t="shared" si="38"/>
        <v>0</v>
      </c>
      <c r="L72" s="27">
        <f>'[1]L. MAT 09 STNKLBN'!I16</f>
        <v>0</v>
      </c>
      <c r="M72" s="28">
        <v>100000</v>
      </c>
      <c r="N72" s="28">
        <f t="shared" si="39"/>
        <v>0</v>
      </c>
      <c r="O72" s="29" t="e">
        <f t="shared" si="36"/>
        <v>#DIV/0!</v>
      </c>
    </row>
    <row r="73" spans="2:15" ht="15.75">
      <c r="B73" s="22"/>
      <c r="C73" s="23"/>
      <c r="D73" s="47" t="s">
        <v>12</v>
      </c>
      <c r="E73" s="45" t="s">
        <v>40</v>
      </c>
      <c r="F73" s="24"/>
      <c r="G73" s="24"/>
      <c r="H73" s="26"/>
      <c r="I73" s="48">
        <v>0</v>
      </c>
      <c r="J73" s="49"/>
      <c r="K73" s="50">
        <f t="shared" ref="K73:L73" si="40">SUM(K74:K75)</f>
        <v>0</v>
      </c>
      <c r="L73" s="48">
        <f t="shared" si="40"/>
        <v>0</v>
      </c>
      <c r="M73" s="49"/>
      <c r="N73" s="50">
        <f>SUM(N74:N75)</f>
        <v>0</v>
      </c>
      <c r="O73" s="29" t="e">
        <f t="shared" si="36"/>
        <v>#DIV/0!</v>
      </c>
    </row>
    <row r="74" spans="2:15" ht="15.75">
      <c r="B74" s="22"/>
      <c r="C74" s="23"/>
      <c r="D74" s="24"/>
      <c r="E74" s="24" t="s">
        <v>33</v>
      </c>
      <c r="F74" s="25" t="s">
        <v>34</v>
      </c>
      <c r="G74" s="24"/>
      <c r="H74" s="26"/>
      <c r="I74" s="27">
        <v>0</v>
      </c>
      <c r="J74" s="28">
        <v>200000</v>
      </c>
      <c r="K74" s="28">
        <f t="shared" ref="K74:K75" si="41">I74*J74</f>
        <v>0</v>
      </c>
      <c r="L74" s="27">
        <f>'[1]L. MAT 09 STNKLBN'!H16</f>
        <v>0</v>
      </c>
      <c r="M74" s="28">
        <v>200000</v>
      </c>
      <c r="N74" s="28">
        <f t="shared" ref="N74:N75" si="42">L74*M74</f>
        <v>0</v>
      </c>
      <c r="O74" s="29" t="e">
        <f t="shared" si="36"/>
        <v>#DIV/0!</v>
      </c>
    </row>
    <row r="75" spans="2:15" ht="15.75">
      <c r="B75" s="22"/>
      <c r="C75" s="23"/>
      <c r="D75" s="24"/>
      <c r="E75" s="24" t="s">
        <v>35</v>
      </c>
      <c r="F75" s="25" t="s">
        <v>36</v>
      </c>
      <c r="G75" s="24"/>
      <c r="H75" s="26"/>
      <c r="I75" s="27">
        <v>0</v>
      </c>
      <c r="J75" s="28">
        <v>200000</v>
      </c>
      <c r="K75" s="28">
        <f t="shared" si="41"/>
        <v>0</v>
      </c>
      <c r="L75" s="27">
        <f>'[1]L. MAT 09 STNKLBN'!J16</f>
        <v>0</v>
      </c>
      <c r="M75" s="28">
        <v>200000</v>
      </c>
      <c r="N75" s="28">
        <f t="shared" si="42"/>
        <v>0</v>
      </c>
      <c r="O75" s="29" t="e">
        <f t="shared" si="36"/>
        <v>#DIV/0!</v>
      </c>
    </row>
    <row r="76" spans="2:15" ht="15.75">
      <c r="B76" s="51"/>
      <c r="C76" s="52"/>
      <c r="D76" s="53"/>
      <c r="E76" s="53"/>
      <c r="F76" s="54"/>
      <c r="G76" s="53"/>
      <c r="H76" s="55"/>
      <c r="I76" s="56"/>
      <c r="J76" s="68"/>
      <c r="K76" s="68"/>
      <c r="L76" s="56"/>
      <c r="M76" s="68"/>
      <c r="N76" s="68"/>
      <c r="O76" s="59"/>
    </row>
    <row r="77" spans="2:15" ht="15.75">
      <c r="B77" s="31"/>
      <c r="C77" s="32">
        <v>11</v>
      </c>
      <c r="D77" s="33" t="s">
        <v>48</v>
      </c>
      <c r="E77" s="42"/>
      <c r="F77" s="34"/>
      <c r="G77" s="34"/>
      <c r="H77" s="35"/>
      <c r="I77" s="36">
        <v>0</v>
      </c>
      <c r="J77" s="37"/>
      <c r="K77" s="38">
        <f t="shared" ref="K77:L77" si="43">K78+K81</f>
        <v>0</v>
      </c>
      <c r="L77" s="36">
        <f t="shared" si="43"/>
        <v>0</v>
      </c>
      <c r="M77" s="37"/>
      <c r="N77" s="38">
        <f>N78+N81</f>
        <v>0</v>
      </c>
      <c r="O77" s="39" t="e">
        <f t="shared" ref="O77:O83" si="44">N77/K77</f>
        <v>#DIV/0!</v>
      </c>
    </row>
    <row r="78" spans="2:15" ht="15.75">
      <c r="B78" s="22"/>
      <c r="C78" s="23"/>
      <c r="D78" s="47" t="s">
        <v>10</v>
      </c>
      <c r="E78" s="45" t="s">
        <v>46</v>
      </c>
      <c r="F78" s="24"/>
      <c r="G78" s="24"/>
      <c r="H78" s="26"/>
      <c r="I78" s="48">
        <v>0</v>
      </c>
      <c r="J78" s="49"/>
      <c r="K78" s="50">
        <f t="shared" ref="K78:L78" si="45">SUM(K79:K80)</f>
        <v>0</v>
      </c>
      <c r="L78" s="48">
        <f t="shared" si="45"/>
        <v>0</v>
      </c>
      <c r="M78" s="49"/>
      <c r="N78" s="50">
        <f>SUM(N79:N80)</f>
        <v>0</v>
      </c>
      <c r="O78" s="29" t="e">
        <f t="shared" si="44"/>
        <v>#DIV/0!</v>
      </c>
    </row>
    <row r="79" spans="2:15" ht="15.75">
      <c r="B79" s="22"/>
      <c r="C79" s="23"/>
      <c r="D79" s="24"/>
      <c r="E79" s="24" t="s">
        <v>33</v>
      </c>
      <c r="F79" s="25" t="s">
        <v>34</v>
      </c>
      <c r="G79" s="24"/>
      <c r="H79" s="26"/>
      <c r="I79" s="27">
        <v>0</v>
      </c>
      <c r="J79" s="28">
        <v>100000</v>
      </c>
      <c r="K79" s="28">
        <f t="shared" ref="K79:K80" si="46">I79*J79</f>
        <v>0</v>
      </c>
      <c r="L79" s="27">
        <f>'[1]L. MAT 10 TNKB LBN'!G16</f>
        <v>0</v>
      </c>
      <c r="M79" s="28">
        <v>100000</v>
      </c>
      <c r="N79" s="28">
        <f t="shared" ref="N79:N80" si="47">L79*M79</f>
        <v>0</v>
      </c>
      <c r="O79" s="29" t="e">
        <f t="shared" si="44"/>
        <v>#DIV/0!</v>
      </c>
    </row>
    <row r="80" spans="2:15" ht="15.75">
      <c r="B80" s="22"/>
      <c r="C80" s="23"/>
      <c r="D80" s="24"/>
      <c r="E80" s="24" t="s">
        <v>35</v>
      </c>
      <c r="F80" s="25" t="s">
        <v>36</v>
      </c>
      <c r="G80" s="24"/>
      <c r="H80" s="26"/>
      <c r="I80" s="27"/>
      <c r="J80" s="28">
        <v>100000</v>
      </c>
      <c r="K80" s="28">
        <f t="shared" si="46"/>
        <v>0</v>
      </c>
      <c r="L80" s="27">
        <f>'[1]L. MAT 10 TNKB LBN'!I16</f>
        <v>0</v>
      </c>
      <c r="M80" s="28">
        <v>100000</v>
      </c>
      <c r="N80" s="28">
        <f t="shared" si="47"/>
        <v>0</v>
      </c>
      <c r="O80" s="29" t="e">
        <f t="shared" si="44"/>
        <v>#DIV/0!</v>
      </c>
    </row>
    <row r="81" spans="2:15" ht="15.75">
      <c r="B81" s="22"/>
      <c r="C81" s="23"/>
      <c r="D81" s="47" t="s">
        <v>12</v>
      </c>
      <c r="E81" s="45" t="s">
        <v>40</v>
      </c>
      <c r="F81" s="24"/>
      <c r="G81" s="24"/>
      <c r="H81" s="26"/>
      <c r="I81" s="48">
        <v>0</v>
      </c>
      <c r="J81" s="49"/>
      <c r="K81" s="50">
        <f t="shared" ref="K81:L81" si="48">SUM(K82:K83)</f>
        <v>0</v>
      </c>
      <c r="L81" s="48">
        <f t="shared" si="48"/>
        <v>0</v>
      </c>
      <c r="M81" s="49"/>
      <c r="N81" s="50">
        <f>SUM(N82:N83)</f>
        <v>0</v>
      </c>
      <c r="O81" s="29" t="e">
        <f t="shared" si="44"/>
        <v>#DIV/0!</v>
      </c>
    </row>
    <row r="82" spans="2:15" ht="15.75">
      <c r="B82" s="22"/>
      <c r="C82" s="23"/>
      <c r="D82" s="24"/>
      <c r="E82" s="24" t="s">
        <v>33</v>
      </c>
      <c r="F82" s="25" t="s">
        <v>34</v>
      </c>
      <c r="G82" s="24"/>
      <c r="H82" s="26"/>
      <c r="I82" s="27">
        <v>0</v>
      </c>
      <c r="J82" s="28">
        <v>200000</v>
      </c>
      <c r="K82" s="28">
        <f t="shared" ref="K82:K83" si="49">I82*J82</f>
        <v>0</v>
      </c>
      <c r="L82" s="27">
        <f>'[1]L. MAT 10 TNKB LBN'!H16</f>
        <v>0</v>
      </c>
      <c r="M82" s="28">
        <v>200000</v>
      </c>
      <c r="N82" s="28">
        <f t="shared" ref="N82:N83" si="50">L82*M82</f>
        <v>0</v>
      </c>
      <c r="O82" s="29" t="e">
        <f t="shared" si="44"/>
        <v>#DIV/0!</v>
      </c>
    </row>
    <row r="83" spans="2:15" ht="15.75">
      <c r="B83" s="22"/>
      <c r="C83" s="23"/>
      <c r="D83" s="24"/>
      <c r="E83" s="24" t="s">
        <v>35</v>
      </c>
      <c r="F83" s="25" t="s">
        <v>36</v>
      </c>
      <c r="G83" s="24"/>
      <c r="H83" s="26"/>
      <c r="I83" s="27">
        <v>0</v>
      </c>
      <c r="J83" s="28">
        <v>200000</v>
      </c>
      <c r="K83" s="28">
        <f t="shared" si="49"/>
        <v>0</v>
      </c>
      <c r="L83" s="27">
        <f>'[1]L. MAT 10 TNKB LBN'!J16</f>
        <v>0</v>
      </c>
      <c r="M83" s="28">
        <v>200000</v>
      </c>
      <c r="N83" s="28">
        <f t="shared" si="50"/>
        <v>0</v>
      </c>
      <c r="O83" s="29" t="e">
        <f t="shared" si="44"/>
        <v>#DIV/0!</v>
      </c>
    </row>
    <row r="84" spans="2:15" ht="15.75">
      <c r="B84" s="22"/>
      <c r="C84" s="23"/>
      <c r="D84" s="24"/>
      <c r="E84" s="25"/>
      <c r="F84" s="24"/>
      <c r="G84" s="24"/>
      <c r="H84" s="26"/>
      <c r="I84" s="27"/>
      <c r="J84" s="49"/>
      <c r="K84" s="41"/>
      <c r="L84" s="27"/>
      <c r="M84" s="49"/>
      <c r="N84" s="41"/>
      <c r="O84" s="29"/>
    </row>
    <row r="85" spans="2:15" ht="15.75">
      <c r="B85" s="31"/>
      <c r="C85" s="32">
        <v>12</v>
      </c>
      <c r="D85" s="33" t="s">
        <v>49</v>
      </c>
      <c r="E85" s="42"/>
      <c r="F85" s="42"/>
      <c r="G85" s="42"/>
      <c r="H85" s="35"/>
      <c r="I85" s="36">
        <v>12000</v>
      </c>
      <c r="J85" s="37"/>
      <c r="K85" s="38">
        <f t="shared" ref="K85:L85" si="51">+K86+K89+K92+K95</f>
        <v>99500000000</v>
      </c>
      <c r="L85" s="36">
        <f t="shared" si="51"/>
        <v>538</v>
      </c>
      <c r="M85" s="37"/>
      <c r="N85" s="38">
        <f>+N86+N89+N92+N95</f>
        <v>4677500000</v>
      </c>
      <c r="O85" s="39">
        <f t="shared" ref="O85:O97" si="52">N85/K85</f>
        <v>4.7010050251256284E-2</v>
      </c>
    </row>
    <row r="86" spans="2:15" ht="15.75">
      <c r="B86" s="22"/>
      <c r="C86" s="23"/>
      <c r="D86" s="47" t="s">
        <v>10</v>
      </c>
      <c r="E86" s="45" t="s">
        <v>50</v>
      </c>
      <c r="F86" s="24"/>
      <c r="G86" s="24"/>
      <c r="H86" s="26"/>
      <c r="I86" s="48">
        <v>1053</v>
      </c>
      <c r="J86" s="49"/>
      <c r="K86" s="50">
        <f t="shared" ref="K86:L86" si="53">SUM(K87:K88)</f>
        <v>16585000000</v>
      </c>
      <c r="L86" s="48">
        <f t="shared" si="53"/>
        <v>49</v>
      </c>
      <c r="M86" s="49"/>
      <c r="N86" s="50">
        <f>SUM(N87:N88)</f>
        <v>735000000</v>
      </c>
      <c r="O86" s="29">
        <f t="shared" si="52"/>
        <v>4.4317154054868857E-2</v>
      </c>
    </row>
    <row r="87" spans="2:15" ht="15.75">
      <c r="B87" s="22"/>
      <c r="C87" s="23"/>
      <c r="D87" s="24"/>
      <c r="E87" s="24" t="s">
        <v>33</v>
      </c>
      <c r="F87" s="25" t="s">
        <v>51</v>
      </c>
      <c r="G87" s="24"/>
      <c r="H87" s="26"/>
      <c r="I87" s="27">
        <v>158</v>
      </c>
      <c r="J87" s="28">
        <v>20000000</v>
      </c>
      <c r="K87" s="28">
        <f t="shared" ref="K87:K88" si="54">I87*J87</f>
        <v>3160000000</v>
      </c>
      <c r="L87" s="27">
        <v>0</v>
      </c>
      <c r="M87" s="28">
        <v>20000000</v>
      </c>
      <c r="N87" s="28">
        <f t="shared" ref="N87:N88" si="55">L87*M87</f>
        <v>0</v>
      </c>
      <c r="O87" s="29">
        <f t="shared" si="52"/>
        <v>0</v>
      </c>
    </row>
    <row r="88" spans="2:15" ht="15.75">
      <c r="B88" s="22"/>
      <c r="C88" s="23"/>
      <c r="D88" s="24"/>
      <c r="E88" s="24" t="s">
        <v>35</v>
      </c>
      <c r="F88" s="25" t="s">
        <v>52</v>
      </c>
      <c r="G88" s="24"/>
      <c r="H88" s="26"/>
      <c r="I88" s="27">
        <v>895</v>
      </c>
      <c r="J88" s="28">
        <v>15000000</v>
      </c>
      <c r="K88" s="28">
        <f t="shared" si="54"/>
        <v>13425000000</v>
      </c>
      <c r="L88" s="27">
        <v>49</v>
      </c>
      <c r="M88" s="28">
        <v>15000000</v>
      </c>
      <c r="N88" s="28">
        <f t="shared" si="55"/>
        <v>735000000</v>
      </c>
      <c r="O88" s="29">
        <f t="shared" si="52"/>
        <v>5.4748603351955305E-2</v>
      </c>
    </row>
    <row r="89" spans="2:15" ht="15.75">
      <c r="B89" s="22"/>
      <c r="C89" s="23"/>
      <c r="D89" s="47" t="s">
        <v>12</v>
      </c>
      <c r="E89" s="45" t="s">
        <v>53</v>
      </c>
      <c r="F89" s="24"/>
      <c r="G89" s="24"/>
      <c r="H89" s="26"/>
      <c r="I89" s="48">
        <v>2383</v>
      </c>
      <c r="J89" s="49"/>
      <c r="K89" s="50">
        <f t="shared" ref="K89:L89" si="56">SUM(K90:K91)</f>
        <v>25435000000</v>
      </c>
      <c r="L89" s="48">
        <f t="shared" si="56"/>
        <v>129</v>
      </c>
      <c r="M89" s="49"/>
      <c r="N89" s="50">
        <f>SUM(N90:N91)</f>
        <v>1320000000</v>
      </c>
      <c r="O89" s="29">
        <f t="shared" si="52"/>
        <v>5.189699233339886E-2</v>
      </c>
    </row>
    <row r="90" spans="2:15" ht="15.75">
      <c r="B90" s="22"/>
      <c r="C90" s="23"/>
      <c r="D90" s="24"/>
      <c r="E90" s="24" t="s">
        <v>33</v>
      </c>
      <c r="F90" s="25" t="s">
        <v>51</v>
      </c>
      <c r="G90" s="24"/>
      <c r="H90" s="26"/>
      <c r="I90" s="27">
        <v>321</v>
      </c>
      <c r="J90" s="28">
        <v>15000000</v>
      </c>
      <c r="K90" s="28">
        <f t="shared" ref="K90:K91" si="57">I90*J90</f>
        <v>4815000000</v>
      </c>
      <c r="L90" s="27">
        <v>6</v>
      </c>
      <c r="M90" s="28">
        <v>15000000</v>
      </c>
      <c r="N90" s="28">
        <f t="shared" ref="N90:N91" si="58">L90*M90</f>
        <v>90000000</v>
      </c>
      <c r="O90" s="29">
        <f t="shared" si="52"/>
        <v>1.8691588785046728E-2</v>
      </c>
    </row>
    <row r="91" spans="2:15" ht="15">
      <c r="B91" s="69"/>
      <c r="C91" s="70"/>
      <c r="D91" s="25"/>
      <c r="E91" s="24" t="s">
        <v>35</v>
      </c>
      <c r="F91" s="25" t="s">
        <v>52</v>
      </c>
      <c r="G91" s="25"/>
      <c r="H91" s="71"/>
      <c r="I91" s="27">
        <v>2062</v>
      </c>
      <c r="J91" s="28">
        <v>10000000</v>
      </c>
      <c r="K91" s="28">
        <f t="shared" si="57"/>
        <v>20620000000</v>
      </c>
      <c r="L91" s="27">
        <v>123</v>
      </c>
      <c r="M91" s="28">
        <v>10000000</v>
      </c>
      <c r="N91" s="28">
        <f t="shared" si="58"/>
        <v>1230000000</v>
      </c>
      <c r="O91" s="29">
        <f t="shared" si="52"/>
        <v>5.9650824442289037E-2</v>
      </c>
    </row>
    <row r="92" spans="2:15" ht="15.75">
      <c r="B92" s="69"/>
      <c r="C92" s="70"/>
      <c r="D92" s="47" t="s">
        <v>14</v>
      </c>
      <c r="E92" s="45" t="s">
        <v>54</v>
      </c>
      <c r="F92" s="25"/>
      <c r="G92" s="25"/>
      <c r="H92" s="71"/>
      <c r="I92" s="48">
        <v>4609</v>
      </c>
      <c r="J92" s="28"/>
      <c r="K92" s="50">
        <f t="shared" ref="K92:L92" si="59">SUM(K93:K94)</f>
        <v>35915000000</v>
      </c>
      <c r="L92" s="48">
        <f t="shared" si="59"/>
        <v>293</v>
      </c>
      <c r="M92" s="28"/>
      <c r="N92" s="50">
        <f>SUM(N93:N94)</f>
        <v>2235000000</v>
      </c>
      <c r="O92" s="29">
        <f t="shared" si="52"/>
        <v>6.2230265905610468E-2</v>
      </c>
    </row>
    <row r="93" spans="2:15" ht="15">
      <c r="B93" s="69"/>
      <c r="C93" s="70"/>
      <c r="D93" s="24"/>
      <c r="E93" s="24" t="s">
        <v>33</v>
      </c>
      <c r="F93" s="25" t="s">
        <v>51</v>
      </c>
      <c r="G93" s="25"/>
      <c r="H93" s="71"/>
      <c r="I93" s="27">
        <v>539</v>
      </c>
      <c r="J93" s="28">
        <v>10000000</v>
      </c>
      <c r="K93" s="28">
        <f t="shared" ref="K93:K94" si="60">I93*J93</f>
        <v>5390000000</v>
      </c>
      <c r="L93" s="27">
        <v>15</v>
      </c>
      <c r="M93" s="28">
        <v>10000000</v>
      </c>
      <c r="N93" s="28">
        <f t="shared" ref="N93:N94" si="61">L93*M93</f>
        <v>150000000</v>
      </c>
      <c r="O93" s="29">
        <f t="shared" si="52"/>
        <v>2.7829313543599257E-2</v>
      </c>
    </row>
    <row r="94" spans="2:15" ht="15">
      <c r="B94" s="69"/>
      <c r="C94" s="70"/>
      <c r="D94" s="24"/>
      <c r="E94" s="24" t="s">
        <v>35</v>
      </c>
      <c r="F94" s="25" t="s">
        <v>52</v>
      </c>
      <c r="G94" s="25"/>
      <c r="H94" s="71"/>
      <c r="I94" s="27">
        <v>4070</v>
      </c>
      <c r="J94" s="28">
        <v>7500000</v>
      </c>
      <c r="K94" s="28">
        <f t="shared" si="60"/>
        <v>30525000000</v>
      </c>
      <c r="L94" s="27">
        <v>278</v>
      </c>
      <c r="M94" s="28">
        <v>7500000</v>
      </c>
      <c r="N94" s="28">
        <f t="shared" si="61"/>
        <v>2085000000</v>
      </c>
      <c r="O94" s="29">
        <f t="shared" si="52"/>
        <v>6.8304668304668303E-2</v>
      </c>
    </row>
    <row r="95" spans="2:15" ht="15.75">
      <c r="B95" s="69"/>
      <c r="C95" s="70"/>
      <c r="D95" s="47" t="s">
        <v>16</v>
      </c>
      <c r="E95" s="45" t="s">
        <v>55</v>
      </c>
      <c r="F95" s="25"/>
      <c r="G95" s="25"/>
      <c r="H95" s="71"/>
      <c r="I95" s="48">
        <v>3955</v>
      </c>
      <c r="J95" s="28"/>
      <c r="K95" s="50">
        <f t="shared" ref="K95:L95" si="62">SUM(K96:K97)</f>
        <v>21565000000</v>
      </c>
      <c r="L95" s="48">
        <f t="shared" si="62"/>
        <v>67</v>
      </c>
      <c r="M95" s="28"/>
      <c r="N95" s="50">
        <f>SUM(N96:N97)</f>
        <v>387500000</v>
      </c>
      <c r="O95" s="29">
        <f t="shared" si="52"/>
        <v>1.7968931138418735E-2</v>
      </c>
    </row>
    <row r="96" spans="2:15" ht="15">
      <c r="B96" s="69"/>
      <c r="C96" s="70"/>
      <c r="D96" s="25"/>
      <c r="E96" s="24" t="s">
        <v>33</v>
      </c>
      <c r="F96" s="25" t="s">
        <v>51</v>
      </c>
      <c r="G96" s="25"/>
      <c r="H96" s="71"/>
      <c r="I96" s="27">
        <v>716</v>
      </c>
      <c r="J96" s="28">
        <v>7500000</v>
      </c>
      <c r="K96" s="28">
        <f t="shared" ref="K96:K97" si="63">I96*J96</f>
        <v>5370000000</v>
      </c>
      <c r="L96" s="27">
        <v>21</v>
      </c>
      <c r="M96" s="28">
        <v>7500000</v>
      </c>
      <c r="N96" s="28">
        <f t="shared" ref="N96:N97" si="64">L96*M96</f>
        <v>157500000</v>
      </c>
      <c r="O96" s="29">
        <f t="shared" si="52"/>
        <v>2.9329608938547486E-2</v>
      </c>
    </row>
    <row r="97" spans="2:15" ht="15">
      <c r="B97" s="69"/>
      <c r="C97" s="70"/>
      <c r="D97" s="25"/>
      <c r="E97" s="24" t="s">
        <v>35</v>
      </c>
      <c r="F97" s="25" t="s">
        <v>52</v>
      </c>
      <c r="G97" s="25"/>
      <c r="H97" s="71"/>
      <c r="I97" s="27">
        <v>3239</v>
      </c>
      <c r="J97" s="28">
        <v>5000000</v>
      </c>
      <c r="K97" s="28">
        <f t="shared" si="63"/>
        <v>16195000000</v>
      </c>
      <c r="L97" s="27">
        <v>46</v>
      </c>
      <c r="M97" s="28">
        <v>5000000</v>
      </c>
      <c r="N97" s="28">
        <f t="shared" si="64"/>
        <v>230000000</v>
      </c>
      <c r="O97" s="29">
        <f t="shared" si="52"/>
        <v>1.4201914171040445E-2</v>
      </c>
    </row>
    <row r="98" spans="2:15" ht="15">
      <c r="B98" s="72"/>
      <c r="C98" s="73"/>
      <c r="D98" s="74"/>
      <c r="E98" s="74"/>
      <c r="F98" s="74"/>
      <c r="G98" s="74"/>
      <c r="H98" s="75"/>
      <c r="I98" s="76"/>
      <c r="J98" s="77"/>
      <c r="K98" s="78"/>
      <c r="L98" s="76"/>
      <c r="M98" s="77"/>
      <c r="N98" s="78"/>
      <c r="O98" s="79"/>
    </row>
    <row r="99" spans="2:15" ht="15.75">
      <c r="B99" s="80"/>
      <c r="C99" s="105" t="s">
        <v>56</v>
      </c>
      <c r="D99" s="103"/>
      <c r="E99" s="103"/>
      <c r="F99" s="103"/>
      <c r="G99" s="103"/>
      <c r="H99" s="104"/>
      <c r="I99" s="81">
        <f>SUM(I13,I24,I35,I37,I45,I49,I53,I57,I65,I69,I77,I85)</f>
        <v>19337001</v>
      </c>
      <c r="J99" s="81"/>
      <c r="K99" s="81">
        <f>SUM(K13,K24,K35,K37,K45,K49,K53,K57,K65,K69,K77,K85)</f>
        <v>2210588370000</v>
      </c>
      <c r="L99" s="81">
        <f>SUM(L13,L24,L35,L37,L45,L49,L53,L57,L65,L69,L77,L85)</f>
        <v>799750</v>
      </c>
      <c r="M99" s="81"/>
      <c r="N99" s="81">
        <f>SUM(N13,N24,N35,N37,N45,N49,N53,N57,N65,N69,N77,N85)</f>
        <v>89611905000</v>
      </c>
      <c r="O99" s="82">
        <f>N99/K99</f>
        <v>4.0537580951807865E-2</v>
      </c>
    </row>
    <row r="100" spans="2:15" ht="15.75">
      <c r="B100" s="83"/>
      <c r="C100" s="84"/>
      <c r="D100" s="84"/>
      <c r="E100" s="84"/>
      <c r="F100" s="84"/>
      <c r="G100" s="84"/>
      <c r="H100" s="84"/>
      <c r="I100" s="85"/>
      <c r="J100" s="84"/>
      <c r="K100" s="84"/>
      <c r="L100" s="85"/>
      <c r="M100" s="84"/>
      <c r="N100" s="86"/>
      <c r="O100" s="87"/>
    </row>
    <row r="101" spans="2:15" ht="15.75">
      <c r="B101" s="83"/>
      <c r="C101" s="88"/>
      <c r="D101" s="84"/>
      <c r="E101" s="84"/>
      <c r="F101" s="84"/>
      <c r="G101" s="84"/>
      <c r="H101" s="84"/>
      <c r="I101" s="84"/>
      <c r="J101" s="84"/>
      <c r="K101" s="84"/>
      <c r="L101" s="84"/>
      <c r="M101" s="106"/>
      <c r="N101" s="100"/>
      <c r="O101" s="100"/>
    </row>
    <row r="102" spans="2:15" ht="15.75">
      <c r="B102" s="101"/>
      <c r="C102" s="100"/>
      <c r="D102" s="100"/>
      <c r="E102" s="100"/>
      <c r="F102" s="100"/>
      <c r="G102" s="84"/>
      <c r="H102" s="84"/>
      <c r="I102" s="84"/>
      <c r="J102" s="84"/>
      <c r="K102" s="84"/>
      <c r="L102" s="84"/>
      <c r="M102" s="101"/>
      <c r="N102" s="100"/>
      <c r="O102" s="100"/>
    </row>
    <row r="103" spans="2:15" ht="15.75">
      <c r="B103" s="89"/>
      <c r="C103" s="89"/>
      <c r="D103" s="89"/>
      <c r="E103" s="84"/>
      <c r="F103" s="84"/>
      <c r="G103" s="84"/>
      <c r="H103" s="84"/>
      <c r="I103" s="86"/>
      <c r="J103" s="86"/>
      <c r="K103" s="86"/>
      <c r="L103" s="86"/>
      <c r="M103" s="89"/>
      <c r="N103" s="89"/>
      <c r="O103" s="89"/>
    </row>
    <row r="104" spans="2:15" ht="15.75">
      <c r="B104" s="101"/>
      <c r="C104" s="100"/>
      <c r="D104" s="100"/>
      <c r="E104" s="100"/>
      <c r="F104" s="100"/>
      <c r="G104" s="84"/>
      <c r="H104" s="84"/>
      <c r="I104" s="84"/>
      <c r="J104" s="84"/>
      <c r="K104" s="84"/>
      <c r="L104" s="84"/>
      <c r="M104" s="101"/>
      <c r="N104" s="100"/>
      <c r="O104" s="100"/>
    </row>
    <row r="105" spans="2:15" ht="15.75">
      <c r="B105" s="89"/>
      <c r="C105" s="89"/>
      <c r="D105" s="89"/>
      <c r="E105" s="84"/>
      <c r="F105" s="84"/>
      <c r="G105" s="84"/>
      <c r="H105" s="84"/>
      <c r="I105" s="84"/>
      <c r="J105" s="84"/>
      <c r="K105" s="84"/>
      <c r="L105" s="84"/>
      <c r="M105" s="89"/>
      <c r="N105" s="89"/>
      <c r="O105" s="89"/>
    </row>
    <row r="106" spans="2:15" ht="15.75">
      <c r="B106" s="99"/>
      <c r="C106" s="100"/>
      <c r="D106" s="100"/>
      <c r="E106" s="100"/>
      <c r="F106" s="100"/>
      <c r="G106" s="84"/>
      <c r="H106" s="84"/>
      <c r="I106" s="84"/>
      <c r="J106" s="84"/>
      <c r="K106" s="84"/>
      <c r="L106" s="84"/>
      <c r="M106" s="99"/>
      <c r="N106" s="100"/>
      <c r="O106" s="100"/>
    </row>
    <row r="107" spans="2:15" ht="15.75">
      <c r="B107" s="101"/>
      <c r="C107" s="100"/>
      <c r="D107" s="100"/>
      <c r="E107" s="100"/>
      <c r="F107" s="100"/>
      <c r="G107" s="84"/>
      <c r="H107" s="84"/>
      <c r="I107" s="84"/>
      <c r="J107" s="84"/>
      <c r="K107" s="84"/>
      <c r="L107" s="84"/>
      <c r="M107" s="101"/>
      <c r="N107" s="100"/>
      <c r="O107" s="100"/>
    </row>
  </sheetData>
  <mergeCells count="20">
    <mergeCell ref="B2:G5"/>
    <mergeCell ref="B6:O6"/>
    <mergeCell ref="B7:O7"/>
    <mergeCell ref="B9:H9"/>
    <mergeCell ref="B10:B11"/>
    <mergeCell ref="C10:H11"/>
    <mergeCell ref="I10:K10"/>
    <mergeCell ref="L10:N10"/>
    <mergeCell ref="O10:O11"/>
    <mergeCell ref="B106:F106"/>
    <mergeCell ref="M106:O106"/>
    <mergeCell ref="B107:F107"/>
    <mergeCell ref="M107:O107"/>
    <mergeCell ref="C12:H12"/>
    <mergeCell ref="C99:H99"/>
    <mergeCell ref="M101:O101"/>
    <mergeCell ref="B102:F102"/>
    <mergeCell ref="M102:O102"/>
    <mergeCell ref="B104:F104"/>
    <mergeCell ref="M104:O10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7"/>
  <sheetViews>
    <sheetView topLeftCell="G67" zoomScale="86" zoomScaleNormal="86" workbookViewId="0">
      <selection activeCell="N72" sqref="N72"/>
    </sheetView>
  </sheetViews>
  <sheetFormatPr defaultRowHeight="14.25"/>
  <cols>
    <col min="2" max="2" width="5.875" customWidth="1"/>
    <col min="3" max="10" width="16.125" customWidth="1"/>
    <col min="11" max="11" width="26.25" customWidth="1"/>
    <col min="12" max="13" width="16.125" customWidth="1"/>
    <col min="14" max="14" width="20.75" customWidth="1"/>
    <col min="15" max="15" width="16.125" customWidth="1"/>
  </cols>
  <sheetData>
    <row r="1" spans="2:15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2:15" ht="15">
      <c r="B2" s="107"/>
      <c r="C2" s="108"/>
      <c r="D2" s="108"/>
      <c r="E2" s="108"/>
      <c r="F2" s="108"/>
      <c r="G2" s="108"/>
      <c r="H2" s="3"/>
      <c r="I2" s="3"/>
      <c r="J2" s="3"/>
      <c r="K2" s="3"/>
      <c r="L2" s="3"/>
      <c r="M2" s="3"/>
      <c r="N2" s="3"/>
      <c r="O2" s="4"/>
    </row>
    <row r="3" spans="2:15" ht="15">
      <c r="B3" s="108"/>
      <c r="C3" s="100"/>
      <c r="D3" s="100"/>
      <c r="E3" s="100"/>
      <c r="F3" s="100"/>
      <c r="G3" s="108"/>
      <c r="H3" s="3"/>
      <c r="I3" s="3"/>
      <c r="J3" s="3"/>
      <c r="K3" s="3"/>
      <c r="L3" s="3"/>
      <c r="M3" s="3"/>
      <c r="N3" s="3"/>
      <c r="O3" s="4"/>
    </row>
    <row r="4" spans="2:15" ht="15.75">
      <c r="B4" s="108"/>
      <c r="C4" s="100"/>
      <c r="D4" s="100"/>
      <c r="E4" s="100"/>
      <c r="F4" s="100"/>
      <c r="G4" s="108"/>
      <c r="H4" s="5"/>
      <c r="I4" s="3"/>
      <c r="J4" s="6"/>
      <c r="K4" s="7"/>
      <c r="L4" s="3"/>
      <c r="M4" s="6"/>
      <c r="N4" s="7"/>
      <c r="O4" s="4"/>
    </row>
    <row r="5" spans="2:15" ht="15.75">
      <c r="B5" s="108"/>
      <c r="C5" s="108"/>
      <c r="D5" s="108"/>
      <c r="E5" s="108"/>
      <c r="F5" s="108"/>
      <c r="G5" s="108"/>
      <c r="H5" s="5"/>
      <c r="I5" s="5"/>
      <c r="J5" s="8"/>
      <c r="K5" s="6"/>
      <c r="L5" s="5"/>
      <c r="M5" s="8"/>
      <c r="N5" s="6"/>
      <c r="O5" s="4"/>
    </row>
    <row r="6" spans="2:15" ht="15.75">
      <c r="B6" s="109" t="s">
        <v>57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</row>
    <row r="7" spans="2:15" ht="15.75">
      <c r="B7" s="110" t="s">
        <v>59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</row>
    <row r="8" spans="2:15" ht="15.7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ht="15.75">
      <c r="B9" s="111"/>
      <c r="C9" s="108"/>
      <c r="D9" s="108"/>
      <c r="E9" s="108"/>
      <c r="F9" s="108"/>
      <c r="G9" s="108"/>
      <c r="H9" s="108"/>
      <c r="I9" s="11"/>
      <c r="J9" s="9"/>
      <c r="K9" s="11"/>
      <c r="L9" s="11"/>
      <c r="M9" s="9"/>
      <c r="N9" s="11"/>
      <c r="O9" s="4"/>
    </row>
    <row r="10" spans="2:15" ht="15.75">
      <c r="B10" s="112" t="s">
        <v>0</v>
      </c>
      <c r="C10" s="114" t="s">
        <v>1</v>
      </c>
      <c r="D10" s="115"/>
      <c r="E10" s="115"/>
      <c r="F10" s="115"/>
      <c r="G10" s="115"/>
      <c r="H10" s="116"/>
      <c r="I10" s="120" t="s">
        <v>2</v>
      </c>
      <c r="J10" s="103"/>
      <c r="K10" s="104"/>
      <c r="L10" s="120" t="s">
        <v>3</v>
      </c>
      <c r="M10" s="103"/>
      <c r="N10" s="104"/>
      <c r="O10" s="121" t="s">
        <v>4</v>
      </c>
    </row>
    <row r="11" spans="2:15" ht="15.75">
      <c r="B11" s="113"/>
      <c r="C11" s="117"/>
      <c r="D11" s="118"/>
      <c r="E11" s="118"/>
      <c r="F11" s="118"/>
      <c r="G11" s="118"/>
      <c r="H11" s="119"/>
      <c r="I11" s="12" t="s">
        <v>5</v>
      </c>
      <c r="J11" s="12" t="s">
        <v>6</v>
      </c>
      <c r="K11" s="12" t="s">
        <v>7</v>
      </c>
      <c r="L11" s="12" t="s">
        <v>5</v>
      </c>
      <c r="M11" s="12" t="s">
        <v>6</v>
      </c>
      <c r="N11" s="12" t="s">
        <v>8</v>
      </c>
      <c r="O11" s="122"/>
    </row>
    <row r="12" spans="2:15" ht="15.75">
      <c r="B12" s="12">
        <v>1</v>
      </c>
      <c r="C12" s="102">
        <v>2</v>
      </c>
      <c r="D12" s="103"/>
      <c r="E12" s="103"/>
      <c r="F12" s="103"/>
      <c r="G12" s="103"/>
      <c r="H12" s="104"/>
      <c r="I12" s="12">
        <v>3</v>
      </c>
      <c r="J12" s="12">
        <v>4</v>
      </c>
      <c r="K12" s="12">
        <v>5</v>
      </c>
      <c r="L12" s="12">
        <v>3</v>
      </c>
      <c r="M12" s="12">
        <v>4</v>
      </c>
      <c r="N12" s="12">
        <v>5</v>
      </c>
      <c r="O12" s="12">
        <v>6</v>
      </c>
    </row>
    <row r="13" spans="2:15" ht="15.75">
      <c r="B13" s="13"/>
      <c r="C13" s="14">
        <v>1</v>
      </c>
      <c r="D13" s="15" t="s">
        <v>9</v>
      </c>
      <c r="E13" s="16"/>
      <c r="F13" s="16"/>
      <c r="G13" s="16"/>
      <c r="H13" s="17"/>
      <c r="I13" s="18">
        <v>1002980</v>
      </c>
      <c r="J13" s="19"/>
      <c r="K13" s="20">
        <f t="shared" ref="K13:L13" si="0">SUM(K14:K22)</f>
        <v>106956030000</v>
      </c>
      <c r="L13" s="18">
        <f t="shared" si="0"/>
        <v>22805</v>
      </c>
      <c r="M13" s="19"/>
      <c r="N13" s="20">
        <f>SUM(N14:N22)</f>
        <v>2473210000</v>
      </c>
      <c r="O13" s="21">
        <f>N13/K13</f>
        <v>2.3123614442308676E-2</v>
      </c>
    </row>
    <row r="14" spans="2:15" ht="15.75">
      <c r="B14" s="22"/>
      <c r="C14" s="23"/>
      <c r="D14" s="24" t="s">
        <v>10</v>
      </c>
      <c r="E14" s="25" t="s">
        <v>11</v>
      </c>
      <c r="F14" s="24"/>
      <c r="G14" s="24"/>
      <c r="H14" s="26"/>
      <c r="I14" s="27">
        <v>294130</v>
      </c>
      <c r="J14" s="28">
        <v>120000</v>
      </c>
      <c r="K14" s="28">
        <f t="shared" ref="K14:K22" si="1">I14*J14</f>
        <v>35295600000</v>
      </c>
      <c r="L14" s="27">
        <v>8519</v>
      </c>
      <c r="M14" s="28">
        <v>120000</v>
      </c>
      <c r="N14" s="28">
        <f t="shared" ref="N14:N22" si="2">L14*M14</f>
        <v>1022280000</v>
      </c>
      <c r="O14" s="29">
        <f t="shared" ref="O14:O22" si="3">N14/K14</f>
        <v>2.8963383537891407E-2</v>
      </c>
    </row>
    <row r="15" spans="2:15" ht="15.75">
      <c r="B15" s="22"/>
      <c r="C15" s="23"/>
      <c r="D15" s="24" t="s">
        <v>12</v>
      </c>
      <c r="E15" s="25" t="s">
        <v>13</v>
      </c>
      <c r="F15" s="24"/>
      <c r="G15" s="24"/>
      <c r="H15" s="26"/>
      <c r="I15" s="27">
        <v>30304</v>
      </c>
      <c r="J15" s="28">
        <v>120000</v>
      </c>
      <c r="K15" s="28">
        <f t="shared" si="1"/>
        <v>3636480000</v>
      </c>
      <c r="L15" s="27">
        <v>860</v>
      </c>
      <c r="M15" s="28">
        <v>120000</v>
      </c>
      <c r="N15" s="28">
        <f t="shared" si="2"/>
        <v>103200000</v>
      </c>
      <c r="O15" s="29">
        <f t="shared" si="3"/>
        <v>2.8379091869060191E-2</v>
      </c>
    </row>
    <row r="16" spans="2:15" ht="15.75">
      <c r="B16" s="22"/>
      <c r="C16" s="23"/>
      <c r="D16" s="24" t="s">
        <v>14</v>
      </c>
      <c r="E16" s="25" t="s">
        <v>15</v>
      </c>
      <c r="F16" s="24"/>
      <c r="G16" s="24"/>
      <c r="H16" s="26"/>
      <c r="I16" s="27">
        <v>13370</v>
      </c>
      <c r="J16" s="28">
        <v>120000</v>
      </c>
      <c r="K16" s="28">
        <f t="shared" si="1"/>
        <v>1604400000</v>
      </c>
      <c r="L16" s="27">
        <v>279</v>
      </c>
      <c r="M16" s="28">
        <v>120000</v>
      </c>
      <c r="N16" s="28">
        <f t="shared" si="2"/>
        <v>33480000</v>
      </c>
      <c r="O16" s="29">
        <f t="shared" si="3"/>
        <v>2.0867614061331339E-2</v>
      </c>
    </row>
    <row r="17" spans="2:15" ht="15.75">
      <c r="B17" s="22"/>
      <c r="C17" s="23"/>
      <c r="D17" s="24" t="s">
        <v>16</v>
      </c>
      <c r="E17" s="25" t="s">
        <v>17</v>
      </c>
      <c r="F17" s="24"/>
      <c r="G17" s="24"/>
      <c r="H17" s="26"/>
      <c r="I17" s="27">
        <v>662649</v>
      </c>
      <c r="J17" s="28">
        <v>100000</v>
      </c>
      <c r="K17" s="28">
        <f t="shared" si="1"/>
        <v>66264900000</v>
      </c>
      <c r="L17" s="27">
        <v>13138</v>
      </c>
      <c r="M17" s="28">
        <v>100000</v>
      </c>
      <c r="N17" s="28">
        <f t="shared" si="2"/>
        <v>1313800000</v>
      </c>
      <c r="O17" s="29">
        <f t="shared" si="3"/>
        <v>1.9826484307680234E-2</v>
      </c>
    </row>
    <row r="18" spans="2:15" ht="15.75">
      <c r="B18" s="22"/>
      <c r="C18" s="23"/>
      <c r="D18" s="24" t="s">
        <v>18</v>
      </c>
      <c r="E18" s="25" t="s">
        <v>19</v>
      </c>
      <c r="F18" s="24"/>
      <c r="G18" s="24"/>
      <c r="H18" s="26"/>
      <c r="I18" s="27">
        <v>299</v>
      </c>
      <c r="J18" s="28">
        <v>100000</v>
      </c>
      <c r="K18" s="28">
        <f t="shared" si="1"/>
        <v>29900000</v>
      </c>
      <c r="L18" s="27">
        <v>0</v>
      </c>
      <c r="M18" s="28">
        <v>100000</v>
      </c>
      <c r="N18" s="28">
        <f t="shared" si="2"/>
        <v>0</v>
      </c>
      <c r="O18" s="29">
        <f t="shared" si="3"/>
        <v>0</v>
      </c>
    </row>
    <row r="19" spans="2:15" ht="15.75">
      <c r="B19" s="22"/>
      <c r="C19" s="23"/>
      <c r="D19" s="24" t="s">
        <v>20</v>
      </c>
      <c r="E19" s="25" t="s">
        <v>21</v>
      </c>
      <c r="F19" s="24"/>
      <c r="G19" s="24"/>
      <c r="H19" s="26"/>
      <c r="I19" s="27">
        <v>267</v>
      </c>
      <c r="J19" s="28">
        <v>100000</v>
      </c>
      <c r="K19" s="28">
        <f t="shared" si="1"/>
        <v>26700000</v>
      </c>
      <c r="L19" s="27">
        <v>0</v>
      </c>
      <c r="M19" s="28">
        <v>100000</v>
      </c>
      <c r="N19" s="28">
        <f t="shared" si="2"/>
        <v>0</v>
      </c>
      <c r="O19" s="29">
        <f t="shared" si="3"/>
        <v>0</v>
      </c>
    </row>
    <row r="20" spans="2:15" ht="15.75">
      <c r="B20" s="22"/>
      <c r="C20" s="23"/>
      <c r="D20" s="24" t="s">
        <v>22</v>
      </c>
      <c r="E20" s="25" t="s">
        <v>23</v>
      </c>
      <c r="F20" s="24"/>
      <c r="G20" s="24"/>
      <c r="H20" s="26"/>
      <c r="I20" s="27">
        <v>1925</v>
      </c>
      <c r="J20" s="28">
        <v>50000</v>
      </c>
      <c r="K20" s="28">
        <f t="shared" si="1"/>
        <v>96250000</v>
      </c>
      <c r="L20" s="27">
        <v>8</v>
      </c>
      <c r="M20" s="28">
        <v>50000</v>
      </c>
      <c r="N20" s="28">
        <f t="shared" si="2"/>
        <v>400000</v>
      </c>
      <c r="O20" s="29">
        <f t="shared" si="3"/>
        <v>4.1558441558441558E-3</v>
      </c>
    </row>
    <row r="21" spans="2:15" ht="15.75">
      <c r="B21" s="22"/>
      <c r="C21" s="23"/>
      <c r="D21" s="24" t="s">
        <v>24</v>
      </c>
      <c r="E21" s="25" t="s">
        <v>25</v>
      </c>
      <c r="F21" s="24"/>
      <c r="G21" s="24"/>
      <c r="H21" s="26"/>
      <c r="I21" s="27">
        <v>36</v>
      </c>
      <c r="J21" s="28">
        <v>50000</v>
      </c>
      <c r="K21" s="28">
        <f t="shared" si="1"/>
        <v>1800000</v>
      </c>
      <c r="L21" s="27">
        <v>1</v>
      </c>
      <c r="M21" s="28">
        <v>50000</v>
      </c>
      <c r="N21" s="28">
        <f t="shared" si="2"/>
        <v>50000</v>
      </c>
      <c r="O21" s="29">
        <f t="shared" si="3"/>
        <v>2.7777777777777776E-2</v>
      </c>
    </row>
    <row r="22" spans="2:15" ht="15.75">
      <c r="B22" s="22"/>
      <c r="C22" s="23"/>
      <c r="D22" s="24" t="s">
        <v>26</v>
      </c>
      <c r="E22" s="25" t="s">
        <v>27</v>
      </c>
      <c r="F22" s="24"/>
      <c r="G22" s="24"/>
      <c r="H22" s="26"/>
      <c r="I22" s="27">
        <v>0</v>
      </c>
      <c r="J22" s="28">
        <v>250000</v>
      </c>
      <c r="K22" s="28">
        <f t="shared" si="1"/>
        <v>0</v>
      </c>
      <c r="L22" s="27">
        <v>0</v>
      </c>
      <c r="M22" s="28">
        <v>250000</v>
      </c>
      <c r="N22" s="28">
        <f t="shared" si="2"/>
        <v>0</v>
      </c>
      <c r="O22" s="29" t="e">
        <f t="shared" si="3"/>
        <v>#DIV/0!</v>
      </c>
    </row>
    <row r="23" spans="2:15" ht="15.75">
      <c r="B23" s="22"/>
      <c r="C23" s="23"/>
      <c r="D23" s="24"/>
      <c r="E23" s="25"/>
      <c r="F23" s="24"/>
      <c r="G23" s="24"/>
      <c r="H23" s="26"/>
      <c r="I23" s="30"/>
      <c r="J23" s="28"/>
      <c r="K23" s="28"/>
      <c r="L23" s="30"/>
      <c r="M23" s="28"/>
      <c r="N23" s="28"/>
      <c r="O23" s="29"/>
    </row>
    <row r="24" spans="2:15" ht="15.75">
      <c r="B24" s="31"/>
      <c r="C24" s="32">
        <v>2</v>
      </c>
      <c r="D24" s="33" t="s">
        <v>28</v>
      </c>
      <c r="E24" s="34"/>
      <c r="F24" s="34"/>
      <c r="G24" s="34"/>
      <c r="H24" s="35"/>
      <c r="I24" s="36">
        <v>1997021</v>
      </c>
      <c r="J24" s="37"/>
      <c r="K24" s="38">
        <f t="shared" ref="K24:L24" si="4">SUM(K25:K33)</f>
        <v>153240870000</v>
      </c>
      <c r="L24" s="36">
        <f t="shared" si="4"/>
        <v>92570</v>
      </c>
      <c r="M24" s="37"/>
      <c r="N24" s="38">
        <f>SUM(N25:N33)</f>
        <v>7103075000</v>
      </c>
      <c r="O24" s="39">
        <f t="shared" ref="O24:O32" si="5">N24/K24</f>
        <v>4.6352353650824352E-2</v>
      </c>
    </row>
    <row r="25" spans="2:15" ht="15.75">
      <c r="B25" s="22"/>
      <c r="C25" s="23"/>
      <c r="D25" s="24" t="s">
        <v>10</v>
      </c>
      <c r="E25" s="25" t="s">
        <v>11</v>
      </c>
      <c r="F25" s="24"/>
      <c r="G25" s="24"/>
      <c r="H25" s="26"/>
      <c r="I25" s="27">
        <v>596792</v>
      </c>
      <c r="J25" s="28">
        <v>80000</v>
      </c>
      <c r="K25" s="28">
        <f t="shared" ref="K25:K33" si="6">I25*J25</f>
        <v>47743360000</v>
      </c>
      <c r="L25" s="27">
        <v>28685</v>
      </c>
      <c r="M25" s="28">
        <v>80000</v>
      </c>
      <c r="N25" s="28">
        <f t="shared" ref="N25:N33" si="7">L25*M25</f>
        <v>2294800000</v>
      </c>
      <c r="O25" s="29">
        <f t="shared" si="5"/>
        <v>4.8065322591455649E-2</v>
      </c>
    </row>
    <row r="26" spans="2:15" ht="15.75">
      <c r="B26" s="22"/>
      <c r="C26" s="23"/>
      <c r="D26" s="24" t="s">
        <v>12</v>
      </c>
      <c r="E26" s="25" t="s">
        <v>13</v>
      </c>
      <c r="F26" s="24"/>
      <c r="G26" s="24"/>
      <c r="H26" s="26"/>
      <c r="I26" s="27">
        <v>63576</v>
      </c>
      <c r="J26" s="28">
        <v>80000</v>
      </c>
      <c r="K26" s="28">
        <f t="shared" si="6"/>
        <v>5086080000</v>
      </c>
      <c r="L26" s="27">
        <v>2132</v>
      </c>
      <c r="M26" s="28">
        <v>80000</v>
      </c>
      <c r="N26" s="28">
        <f t="shared" si="7"/>
        <v>170560000</v>
      </c>
      <c r="O26" s="29">
        <f t="shared" si="5"/>
        <v>3.353466717000126E-2</v>
      </c>
    </row>
    <row r="27" spans="2:15" ht="15.75">
      <c r="B27" s="22"/>
      <c r="C27" s="23"/>
      <c r="D27" s="24" t="s">
        <v>14</v>
      </c>
      <c r="E27" s="25" t="s">
        <v>15</v>
      </c>
      <c r="F27" s="24"/>
      <c r="G27" s="24"/>
      <c r="H27" s="26"/>
      <c r="I27" s="27">
        <v>35983</v>
      </c>
      <c r="J27" s="28">
        <v>80000</v>
      </c>
      <c r="K27" s="28">
        <f t="shared" si="6"/>
        <v>2878640000</v>
      </c>
      <c r="L27" s="27">
        <v>1365</v>
      </c>
      <c r="M27" s="28">
        <v>80000</v>
      </c>
      <c r="N27" s="28">
        <f t="shared" si="7"/>
        <v>109200000</v>
      </c>
      <c r="O27" s="29">
        <f t="shared" si="5"/>
        <v>3.7934580218436487E-2</v>
      </c>
    </row>
    <row r="28" spans="2:15" ht="15.75">
      <c r="B28" s="22"/>
      <c r="C28" s="23"/>
      <c r="D28" s="24" t="s">
        <v>16</v>
      </c>
      <c r="E28" s="25" t="s">
        <v>17</v>
      </c>
      <c r="F28" s="24"/>
      <c r="G28" s="24"/>
      <c r="H28" s="26"/>
      <c r="I28" s="27">
        <v>1296381</v>
      </c>
      <c r="J28" s="28">
        <v>75000</v>
      </c>
      <c r="K28" s="28">
        <f t="shared" si="6"/>
        <v>97228575000</v>
      </c>
      <c r="L28" s="27">
        <v>60375</v>
      </c>
      <c r="M28" s="28">
        <v>75000</v>
      </c>
      <c r="N28" s="28">
        <f t="shared" si="7"/>
        <v>4528125000</v>
      </c>
      <c r="O28" s="29">
        <f t="shared" si="5"/>
        <v>4.657195685527634E-2</v>
      </c>
    </row>
    <row r="29" spans="2:15" ht="15.75">
      <c r="B29" s="22"/>
      <c r="C29" s="23"/>
      <c r="D29" s="24" t="s">
        <v>18</v>
      </c>
      <c r="E29" s="25" t="s">
        <v>19</v>
      </c>
      <c r="F29" s="24"/>
      <c r="G29" s="24"/>
      <c r="H29" s="26"/>
      <c r="I29" s="27">
        <v>3815</v>
      </c>
      <c r="J29" s="28">
        <v>75000</v>
      </c>
      <c r="K29" s="28">
        <f t="shared" si="6"/>
        <v>286125000</v>
      </c>
      <c r="L29" s="27">
        <v>0</v>
      </c>
      <c r="M29" s="28">
        <v>75000</v>
      </c>
      <c r="N29" s="28">
        <f t="shared" si="7"/>
        <v>0</v>
      </c>
      <c r="O29" s="29">
        <f t="shared" si="5"/>
        <v>0</v>
      </c>
    </row>
    <row r="30" spans="2:15" ht="15.75">
      <c r="B30" s="22"/>
      <c r="C30" s="23"/>
      <c r="D30" s="24" t="s">
        <v>20</v>
      </c>
      <c r="E30" s="25" t="s">
        <v>21</v>
      </c>
      <c r="F30" s="24"/>
      <c r="G30" s="24"/>
      <c r="H30" s="26"/>
      <c r="I30" s="27">
        <v>86</v>
      </c>
      <c r="J30" s="28">
        <v>75000</v>
      </c>
      <c r="K30" s="28">
        <f t="shared" si="6"/>
        <v>6450000</v>
      </c>
      <c r="L30" s="27">
        <v>0</v>
      </c>
      <c r="M30" s="28">
        <v>75000</v>
      </c>
      <c r="N30" s="28">
        <f t="shared" si="7"/>
        <v>0</v>
      </c>
      <c r="O30" s="29">
        <f t="shared" si="5"/>
        <v>0</v>
      </c>
    </row>
    <row r="31" spans="2:15" ht="15.75">
      <c r="B31" s="22"/>
      <c r="C31" s="23"/>
      <c r="D31" s="24" t="s">
        <v>22</v>
      </c>
      <c r="E31" s="25" t="s">
        <v>23</v>
      </c>
      <c r="F31" s="24"/>
      <c r="G31" s="24"/>
      <c r="H31" s="26"/>
      <c r="I31" s="27">
        <v>360</v>
      </c>
      <c r="J31" s="28">
        <v>30000</v>
      </c>
      <c r="K31" s="28">
        <f t="shared" si="6"/>
        <v>10800000</v>
      </c>
      <c r="L31" s="27">
        <v>13</v>
      </c>
      <c r="M31" s="28">
        <v>30000</v>
      </c>
      <c r="N31" s="28">
        <f t="shared" si="7"/>
        <v>390000</v>
      </c>
      <c r="O31" s="29">
        <f t="shared" si="5"/>
        <v>3.6111111111111108E-2</v>
      </c>
    </row>
    <row r="32" spans="2:15" ht="15.75">
      <c r="B32" s="22"/>
      <c r="C32" s="23"/>
      <c r="D32" s="24" t="s">
        <v>24</v>
      </c>
      <c r="E32" s="25" t="s">
        <v>25</v>
      </c>
      <c r="F32" s="24"/>
      <c r="G32" s="24"/>
      <c r="H32" s="26"/>
      <c r="I32" s="27">
        <v>28</v>
      </c>
      <c r="J32" s="28">
        <v>30000</v>
      </c>
      <c r="K32" s="28">
        <f t="shared" si="6"/>
        <v>840000</v>
      </c>
      <c r="L32" s="27">
        <v>0</v>
      </c>
      <c r="M32" s="28">
        <v>30000</v>
      </c>
      <c r="N32" s="28">
        <f t="shared" si="7"/>
        <v>0</v>
      </c>
      <c r="O32" s="29">
        <f t="shared" si="5"/>
        <v>0</v>
      </c>
    </row>
    <row r="33" spans="2:15" ht="15.75">
      <c r="B33" s="22"/>
      <c r="C33" s="23"/>
      <c r="D33" s="24" t="s">
        <v>26</v>
      </c>
      <c r="E33" s="25" t="s">
        <v>29</v>
      </c>
      <c r="F33" s="24"/>
      <c r="G33" s="24"/>
      <c r="H33" s="26"/>
      <c r="I33" s="27">
        <v>0</v>
      </c>
      <c r="J33" s="28">
        <v>225000</v>
      </c>
      <c r="K33" s="28">
        <f t="shared" si="6"/>
        <v>0</v>
      </c>
      <c r="L33" s="27">
        <v>0</v>
      </c>
      <c r="M33" s="28">
        <v>225000</v>
      </c>
      <c r="N33" s="28">
        <f t="shared" si="7"/>
        <v>0</v>
      </c>
      <c r="O33" s="29"/>
    </row>
    <row r="34" spans="2:15" ht="15.75">
      <c r="B34" s="22"/>
      <c r="C34" s="23"/>
      <c r="D34" s="24"/>
      <c r="E34" s="25"/>
      <c r="F34" s="24"/>
      <c r="G34" s="24"/>
      <c r="H34" s="26"/>
      <c r="I34" s="40"/>
      <c r="J34" s="28"/>
      <c r="K34" s="41"/>
      <c r="L34" s="40"/>
      <c r="M34" s="28"/>
      <c r="N34" s="41"/>
      <c r="O34" s="29"/>
    </row>
    <row r="35" spans="2:15" ht="15.75">
      <c r="B35" s="31"/>
      <c r="C35" s="32">
        <v>3</v>
      </c>
      <c r="D35" s="33" t="s">
        <v>30</v>
      </c>
      <c r="E35" s="42"/>
      <c r="F35" s="42"/>
      <c r="G35" s="42"/>
      <c r="H35" s="43"/>
      <c r="I35" s="36">
        <v>100000</v>
      </c>
      <c r="J35" s="38">
        <v>50000</v>
      </c>
      <c r="K35" s="38">
        <f>I35*J35</f>
        <v>5000000000</v>
      </c>
      <c r="L35" s="36">
        <v>4846</v>
      </c>
      <c r="M35" s="38">
        <v>50000</v>
      </c>
      <c r="N35" s="38">
        <f>L35*M35</f>
        <v>242300000</v>
      </c>
      <c r="O35" s="39">
        <f>N35/K35</f>
        <v>4.8460000000000003E-2</v>
      </c>
    </row>
    <row r="36" spans="2:15" ht="15.75">
      <c r="B36" s="22"/>
      <c r="C36" s="44"/>
      <c r="D36" s="45"/>
      <c r="E36" s="24"/>
      <c r="F36" s="24"/>
      <c r="G36" s="24"/>
      <c r="H36" s="26"/>
      <c r="I36" s="46"/>
      <c r="J36" s="28"/>
      <c r="K36" s="41"/>
      <c r="L36" s="46"/>
      <c r="M36" s="28"/>
      <c r="N36" s="41"/>
      <c r="O36" s="29"/>
    </row>
    <row r="37" spans="2:15" ht="15.75">
      <c r="B37" s="31"/>
      <c r="C37" s="32">
        <v>4</v>
      </c>
      <c r="D37" s="33" t="s">
        <v>31</v>
      </c>
      <c r="E37" s="34"/>
      <c r="F37" s="34"/>
      <c r="G37" s="34"/>
      <c r="H37" s="35"/>
      <c r="I37" s="36">
        <v>6000000</v>
      </c>
      <c r="J37" s="37"/>
      <c r="K37" s="38">
        <f>+K38+K41</f>
        <v>727309900000</v>
      </c>
      <c r="L37" s="36">
        <f>L38+L41</f>
        <v>216168</v>
      </c>
      <c r="M37" s="37"/>
      <c r="N37" s="38">
        <f>+N38+N41</f>
        <v>25279900000</v>
      </c>
      <c r="O37" s="39">
        <f t="shared" ref="O37:O43" si="8">N37/K37</f>
        <v>3.4758085927333038E-2</v>
      </c>
    </row>
    <row r="38" spans="2:15" ht="15.75">
      <c r="B38" s="22"/>
      <c r="C38" s="23"/>
      <c r="D38" s="47" t="s">
        <v>10</v>
      </c>
      <c r="E38" s="45" t="s">
        <v>32</v>
      </c>
      <c r="F38" s="24"/>
      <c r="G38" s="24"/>
      <c r="H38" s="26"/>
      <c r="I38" s="48">
        <v>4726901</v>
      </c>
      <c r="J38" s="49"/>
      <c r="K38" s="50">
        <f t="shared" ref="K38:L38" si="9">SUM(K39:K40)</f>
        <v>472690100000</v>
      </c>
      <c r="L38" s="48">
        <f t="shared" si="9"/>
        <v>179537</v>
      </c>
      <c r="M38" s="49"/>
      <c r="N38" s="50">
        <f>SUM(N39:N40)</f>
        <v>17953700000</v>
      </c>
      <c r="O38" s="29">
        <f t="shared" si="8"/>
        <v>3.7981967466634056E-2</v>
      </c>
    </row>
    <row r="39" spans="2:15" ht="15.75">
      <c r="B39" s="22"/>
      <c r="C39" s="23"/>
      <c r="D39" s="24"/>
      <c r="E39" s="24" t="s">
        <v>33</v>
      </c>
      <c r="F39" s="25" t="s">
        <v>34</v>
      </c>
      <c r="G39" s="24"/>
      <c r="H39" s="26"/>
      <c r="I39" s="27">
        <v>2267860</v>
      </c>
      <c r="J39" s="28">
        <v>100000</v>
      </c>
      <c r="K39" s="28">
        <f t="shared" ref="K39:K40" si="10">I39*J39</f>
        <v>226786000000</v>
      </c>
      <c r="L39" s="27">
        <v>53714</v>
      </c>
      <c r="M39" s="28">
        <v>100000</v>
      </c>
      <c r="N39" s="28">
        <f t="shared" ref="N39:N40" si="11">L39*M39</f>
        <v>5371400000</v>
      </c>
      <c r="O39" s="29">
        <f t="shared" si="8"/>
        <v>2.3684883546603405E-2</v>
      </c>
    </row>
    <row r="40" spans="2:15" ht="15.75">
      <c r="B40" s="22"/>
      <c r="C40" s="23"/>
      <c r="D40" s="24"/>
      <c r="E40" s="24" t="s">
        <v>35</v>
      </c>
      <c r="F40" s="25" t="s">
        <v>36</v>
      </c>
      <c r="G40" s="24"/>
      <c r="H40" s="26"/>
      <c r="I40" s="27">
        <v>2459041</v>
      </c>
      <c r="J40" s="28">
        <v>100000</v>
      </c>
      <c r="K40" s="28">
        <f t="shared" si="10"/>
        <v>245904100000</v>
      </c>
      <c r="L40" s="27">
        <v>125823</v>
      </c>
      <c r="M40" s="28">
        <v>100000</v>
      </c>
      <c r="N40" s="28">
        <f t="shared" si="11"/>
        <v>12582300000</v>
      </c>
      <c r="O40" s="29">
        <f t="shared" si="8"/>
        <v>5.1167507983803442E-2</v>
      </c>
    </row>
    <row r="41" spans="2:15" ht="15.75">
      <c r="B41" s="22"/>
      <c r="C41" s="23"/>
      <c r="D41" s="47" t="s">
        <v>12</v>
      </c>
      <c r="E41" s="45" t="s">
        <v>37</v>
      </c>
      <c r="F41" s="24"/>
      <c r="G41" s="24"/>
      <c r="H41" s="26"/>
      <c r="I41" s="48">
        <v>1273099</v>
      </c>
      <c r="J41" s="49"/>
      <c r="K41" s="50">
        <f t="shared" ref="K41:L41" si="12">SUM(K42:K43)</f>
        <v>254619800000</v>
      </c>
      <c r="L41" s="48">
        <f t="shared" si="12"/>
        <v>36631</v>
      </c>
      <c r="M41" s="49"/>
      <c r="N41" s="50">
        <f>SUM(N42:N43)</f>
        <v>7326200000</v>
      </c>
      <c r="O41" s="29">
        <f t="shared" si="8"/>
        <v>2.8773096200688242E-2</v>
      </c>
    </row>
    <row r="42" spans="2:15" ht="15.75">
      <c r="B42" s="22"/>
      <c r="C42" s="23"/>
      <c r="D42" s="24"/>
      <c r="E42" s="24" t="s">
        <v>33</v>
      </c>
      <c r="F42" s="25" t="s">
        <v>34</v>
      </c>
      <c r="G42" s="24"/>
      <c r="H42" s="26"/>
      <c r="I42" s="27">
        <v>626781</v>
      </c>
      <c r="J42" s="28">
        <v>200000</v>
      </c>
      <c r="K42" s="28">
        <f t="shared" ref="K42:K43" si="13">I42*J42</f>
        <v>125356200000</v>
      </c>
      <c r="L42" s="27">
        <v>6006</v>
      </c>
      <c r="M42" s="28">
        <v>200000</v>
      </c>
      <c r="N42" s="28">
        <f t="shared" ref="N42:N43" si="14">L42*M42</f>
        <v>1201200000</v>
      </c>
      <c r="O42" s="29">
        <f t="shared" si="8"/>
        <v>9.5822942941793058E-3</v>
      </c>
    </row>
    <row r="43" spans="2:15" ht="15.75">
      <c r="B43" s="22"/>
      <c r="C43" s="23"/>
      <c r="D43" s="24"/>
      <c r="E43" s="24" t="s">
        <v>35</v>
      </c>
      <c r="F43" s="25" t="s">
        <v>36</v>
      </c>
      <c r="G43" s="24"/>
      <c r="H43" s="26"/>
      <c r="I43" s="27">
        <v>646318</v>
      </c>
      <c r="J43" s="28">
        <v>200000</v>
      </c>
      <c r="K43" s="28">
        <f t="shared" si="13"/>
        <v>129263600000</v>
      </c>
      <c r="L43" s="27">
        <v>30625</v>
      </c>
      <c r="M43" s="28">
        <v>200000</v>
      </c>
      <c r="N43" s="28">
        <f t="shared" si="14"/>
        <v>6125000000</v>
      </c>
      <c r="O43" s="29">
        <f t="shared" si="8"/>
        <v>4.7383795592881521E-2</v>
      </c>
    </row>
    <row r="44" spans="2:15" ht="15.75">
      <c r="B44" s="51"/>
      <c r="C44" s="52"/>
      <c r="D44" s="53"/>
      <c r="E44" s="53"/>
      <c r="F44" s="54"/>
      <c r="G44" s="53"/>
      <c r="H44" s="55"/>
      <c r="I44" s="56"/>
      <c r="J44" s="57"/>
      <c r="K44" s="58"/>
      <c r="L44" s="56"/>
      <c r="M44" s="57"/>
      <c r="N44" s="58"/>
      <c r="O44" s="59"/>
    </row>
    <row r="45" spans="2:15" ht="15.75">
      <c r="B45" s="60"/>
      <c r="C45" s="61">
        <v>5</v>
      </c>
      <c r="D45" s="62" t="s">
        <v>38</v>
      </c>
      <c r="E45" s="63"/>
      <c r="F45" s="63"/>
      <c r="G45" s="63"/>
      <c r="H45" s="64"/>
      <c r="I45" s="65">
        <v>6000000</v>
      </c>
      <c r="J45" s="66"/>
      <c r="K45" s="65">
        <f>SUM(K46,K47)</f>
        <v>411586320000</v>
      </c>
      <c r="L45" s="65">
        <f>SUM(L46:L47)</f>
        <v>211012</v>
      </c>
      <c r="M45" s="66"/>
      <c r="N45" s="65">
        <f>SUM(N46,N47)</f>
        <v>14101560000</v>
      </c>
      <c r="O45" s="67">
        <f>N45/K45</f>
        <v>3.4261488574255823E-2</v>
      </c>
    </row>
    <row r="46" spans="2:15" ht="15.75">
      <c r="B46" s="22"/>
      <c r="C46" s="23"/>
      <c r="D46" s="24" t="s">
        <v>10</v>
      </c>
      <c r="E46" s="25" t="s">
        <v>39</v>
      </c>
      <c r="F46" s="24"/>
      <c r="G46" s="24"/>
      <c r="H46" s="26"/>
      <c r="I46" s="48">
        <v>4710342</v>
      </c>
      <c r="J46" s="28">
        <v>60000</v>
      </c>
      <c r="K46" s="27">
        <f>I46*J46</f>
        <v>282620520000</v>
      </c>
      <c r="L46" s="27">
        <v>174991</v>
      </c>
      <c r="M46" s="28">
        <v>60000</v>
      </c>
      <c r="N46" s="28">
        <f>L46*M46</f>
        <v>10499460000</v>
      </c>
      <c r="O46" s="29">
        <f>N46/K46</f>
        <v>3.7150381012673817E-2</v>
      </c>
    </row>
    <row r="47" spans="2:15" ht="15.75">
      <c r="B47" s="22"/>
      <c r="C47" s="23"/>
      <c r="D47" s="24" t="s">
        <v>12</v>
      </c>
      <c r="E47" s="25" t="s">
        <v>40</v>
      </c>
      <c r="F47" s="24"/>
      <c r="G47" s="24"/>
      <c r="H47" s="26"/>
      <c r="I47" s="27">
        <v>1289658</v>
      </c>
      <c r="J47" s="28">
        <v>100000</v>
      </c>
      <c r="K47" s="28">
        <f>I47*J47</f>
        <v>128965800000</v>
      </c>
      <c r="L47" s="27">
        <v>36021</v>
      </c>
      <c r="M47" s="28">
        <v>100000</v>
      </c>
      <c r="N47" s="28">
        <f>L47*M47</f>
        <v>3602100000</v>
      </c>
      <c r="O47" s="29">
        <f>N47/K47</f>
        <v>2.7930660686786731E-2</v>
      </c>
    </row>
    <row r="48" spans="2:15" ht="15.75">
      <c r="B48" s="22"/>
      <c r="C48" s="23"/>
      <c r="D48" s="24"/>
      <c r="E48" s="25"/>
      <c r="F48" s="24"/>
      <c r="G48" s="24"/>
      <c r="H48" s="26"/>
      <c r="I48" s="27"/>
      <c r="J48" s="28"/>
      <c r="K48" s="28"/>
      <c r="L48" s="27"/>
      <c r="M48" s="28"/>
      <c r="N48" s="28"/>
      <c r="O48" s="29"/>
    </row>
    <row r="49" spans="2:15" ht="15.75">
      <c r="B49" s="31"/>
      <c r="C49" s="32">
        <v>6</v>
      </c>
      <c r="D49" s="33" t="s">
        <v>41</v>
      </c>
      <c r="E49" s="34"/>
      <c r="F49" s="34"/>
      <c r="G49" s="34"/>
      <c r="H49" s="35"/>
      <c r="I49" s="36">
        <v>1500000</v>
      </c>
      <c r="J49" s="37"/>
      <c r="K49" s="38">
        <f t="shared" ref="K49:L49" si="15">SUM(K50:K51)</f>
        <v>43861750000</v>
      </c>
      <c r="L49" s="36">
        <f t="shared" si="15"/>
        <v>59920</v>
      </c>
      <c r="M49" s="37"/>
      <c r="N49" s="38">
        <f>SUM(N50:N51)</f>
        <v>1656575000</v>
      </c>
      <c r="O49" s="39">
        <f t="shared" ref="O49:O51" si="16">N49/K49</f>
        <v>3.7768100907966506E-2</v>
      </c>
    </row>
    <row r="50" spans="2:15" ht="15.75">
      <c r="B50" s="22"/>
      <c r="C50" s="23"/>
      <c r="D50" s="24" t="s">
        <v>10</v>
      </c>
      <c r="E50" s="25" t="s">
        <v>39</v>
      </c>
      <c r="F50" s="24"/>
      <c r="G50" s="24"/>
      <c r="H50" s="26"/>
      <c r="I50" s="27">
        <v>1245530</v>
      </c>
      <c r="J50" s="28">
        <v>25000</v>
      </c>
      <c r="K50" s="28">
        <f t="shared" ref="K50:K51" si="17">I50*J50</f>
        <v>31138250000</v>
      </c>
      <c r="L50" s="27">
        <v>53577</v>
      </c>
      <c r="M50" s="28">
        <v>25000</v>
      </c>
      <c r="N50" s="28">
        <f t="shared" ref="N50:N51" si="18">L50*M50</f>
        <v>1339425000</v>
      </c>
      <c r="O50" s="29">
        <f t="shared" si="16"/>
        <v>4.3015423153195828E-2</v>
      </c>
    </row>
    <row r="51" spans="2:15" ht="15.75">
      <c r="B51" s="22"/>
      <c r="C51" s="23"/>
      <c r="D51" s="24" t="s">
        <v>12</v>
      </c>
      <c r="E51" s="25" t="s">
        <v>40</v>
      </c>
      <c r="F51" s="24"/>
      <c r="G51" s="24"/>
      <c r="H51" s="26"/>
      <c r="I51" s="27">
        <v>254470</v>
      </c>
      <c r="J51" s="28">
        <v>50000</v>
      </c>
      <c r="K51" s="28">
        <f t="shared" si="17"/>
        <v>12723500000</v>
      </c>
      <c r="L51" s="27">
        <v>6343</v>
      </c>
      <c r="M51" s="28">
        <v>50000</v>
      </c>
      <c r="N51" s="28">
        <f t="shared" si="18"/>
        <v>317150000</v>
      </c>
      <c r="O51" s="29">
        <f t="shared" si="16"/>
        <v>2.49263174440995E-2</v>
      </c>
    </row>
    <row r="52" spans="2:15" ht="15.75">
      <c r="B52" s="22"/>
      <c r="C52" s="23"/>
      <c r="D52" s="24"/>
      <c r="E52" s="25"/>
      <c r="F52" s="24"/>
      <c r="G52" s="24"/>
      <c r="H52" s="26"/>
      <c r="I52" s="27"/>
      <c r="J52" s="49"/>
      <c r="K52" s="41"/>
      <c r="L52" s="27"/>
      <c r="M52" s="49"/>
      <c r="N52" s="41"/>
      <c r="O52" s="29"/>
    </row>
    <row r="53" spans="2:15" ht="15.75">
      <c r="B53" s="31"/>
      <c r="C53" s="32">
        <v>7</v>
      </c>
      <c r="D53" s="33" t="s">
        <v>42</v>
      </c>
      <c r="E53" s="34"/>
      <c r="F53" s="34"/>
      <c r="G53" s="34"/>
      <c r="H53" s="35"/>
      <c r="I53" s="36">
        <v>75000</v>
      </c>
      <c r="J53" s="37"/>
      <c r="K53" s="38">
        <f t="shared" ref="K53:L53" si="19">SUM(K54:K55)</f>
        <v>5024800000</v>
      </c>
      <c r="L53" s="36">
        <f t="shared" si="19"/>
        <v>4533</v>
      </c>
      <c r="M53" s="37"/>
      <c r="N53" s="38">
        <f>SUM(N54:N55)</f>
        <v>313260000</v>
      </c>
      <c r="O53" s="39">
        <f t="shared" ref="O53:O55" si="20">N53/K53</f>
        <v>6.2342779812131828E-2</v>
      </c>
    </row>
    <row r="54" spans="2:15" ht="15.75">
      <c r="B54" s="22"/>
      <c r="C54" s="23"/>
      <c r="D54" s="24" t="s">
        <v>10</v>
      </c>
      <c r="E54" s="25" t="s">
        <v>39</v>
      </c>
      <c r="F54" s="24"/>
      <c r="G54" s="24"/>
      <c r="H54" s="26"/>
      <c r="I54" s="27">
        <v>61880</v>
      </c>
      <c r="J54" s="28">
        <v>60000</v>
      </c>
      <c r="K54" s="28">
        <f t="shared" ref="K54:K55" si="21">I54*J54</f>
        <v>3712800000</v>
      </c>
      <c r="L54" s="27">
        <v>3501</v>
      </c>
      <c r="M54" s="28">
        <v>60000</v>
      </c>
      <c r="N54" s="28">
        <f t="shared" ref="N54:N55" si="22">L54*M54</f>
        <v>210060000</v>
      </c>
      <c r="O54" s="29">
        <f t="shared" si="20"/>
        <v>5.6577246283128636E-2</v>
      </c>
    </row>
    <row r="55" spans="2:15" ht="15.75">
      <c r="B55" s="22"/>
      <c r="C55" s="23"/>
      <c r="D55" s="24" t="s">
        <v>12</v>
      </c>
      <c r="E55" s="25" t="s">
        <v>40</v>
      </c>
      <c r="F55" s="24"/>
      <c r="G55" s="24"/>
      <c r="H55" s="26"/>
      <c r="I55" s="27">
        <v>13120</v>
      </c>
      <c r="J55" s="28">
        <v>100000</v>
      </c>
      <c r="K55" s="28">
        <f t="shared" si="21"/>
        <v>1312000000</v>
      </c>
      <c r="L55" s="27">
        <v>1032</v>
      </c>
      <c r="M55" s="28">
        <v>100000</v>
      </c>
      <c r="N55" s="28">
        <f t="shared" si="22"/>
        <v>103200000</v>
      </c>
      <c r="O55" s="29">
        <f t="shared" si="20"/>
        <v>7.8658536585365854E-2</v>
      </c>
    </row>
    <row r="56" spans="2:15" ht="15.75">
      <c r="B56" s="22"/>
      <c r="C56" s="23"/>
      <c r="D56" s="24"/>
      <c r="E56" s="25"/>
      <c r="F56" s="24"/>
      <c r="G56" s="24"/>
      <c r="H56" s="26"/>
      <c r="I56" s="27"/>
      <c r="J56" s="49"/>
      <c r="K56" s="41"/>
      <c r="L56" s="27"/>
      <c r="M56" s="49"/>
      <c r="N56" s="41"/>
      <c r="O56" s="29"/>
    </row>
    <row r="57" spans="2:15" ht="15.75">
      <c r="B57" s="31"/>
      <c r="C57" s="32">
        <v>8</v>
      </c>
      <c r="D57" s="33" t="s">
        <v>43</v>
      </c>
      <c r="E57" s="34"/>
      <c r="F57" s="34"/>
      <c r="G57" s="34"/>
      <c r="H57" s="35"/>
      <c r="I57" s="36">
        <v>2400000</v>
      </c>
      <c r="J57" s="37"/>
      <c r="K57" s="38">
        <f t="shared" ref="K57:L57" si="23">+K58+K61</f>
        <v>607771500000</v>
      </c>
      <c r="L57" s="36">
        <f t="shared" si="23"/>
        <v>88965</v>
      </c>
      <c r="M57" s="37"/>
      <c r="N57" s="38">
        <f>+N58+N61</f>
        <v>22344525000</v>
      </c>
      <c r="O57" s="39">
        <f t="shared" ref="O57:O63" si="24">N57/K57</f>
        <v>3.6764680476132891E-2</v>
      </c>
    </row>
    <row r="58" spans="2:15" ht="15.75">
      <c r="B58" s="22"/>
      <c r="C58" s="23"/>
      <c r="D58" s="47" t="s">
        <v>10</v>
      </c>
      <c r="E58" s="45" t="s">
        <v>32</v>
      </c>
      <c r="F58" s="24"/>
      <c r="G58" s="24"/>
      <c r="H58" s="26"/>
      <c r="I58" s="48">
        <v>1948190</v>
      </c>
      <c r="J58" s="49"/>
      <c r="K58" s="50">
        <f t="shared" ref="K58:L58" si="25">K59+K60</f>
        <v>438342750000</v>
      </c>
      <c r="L58" s="48">
        <f t="shared" si="25"/>
        <v>73449</v>
      </c>
      <c r="M58" s="49"/>
      <c r="N58" s="50">
        <f>N59+N60</f>
        <v>16526025000</v>
      </c>
      <c r="O58" s="29">
        <f t="shared" si="24"/>
        <v>3.7701148245294351E-2</v>
      </c>
    </row>
    <row r="59" spans="2:15" ht="15.75">
      <c r="B59" s="22"/>
      <c r="C59" s="23"/>
      <c r="D59" s="24"/>
      <c r="E59" s="24" t="s">
        <v>33</v>
      </c>
      <c r="F59" s="25" t="s">
        <v>34</v>
      </c>
      <c r="G59" s="24"/>
      <c r="H59" s="26"/>
      <c r="I59" s="27">
        <v>1619192</v>
      </c>
      <c r="J59" s="28">
        <v>225000</v>
      </c>
      <c r="K59" s="28">
        <f t="shared" ref="K59:K60" si="26">I59*J59</f>
        <v>364318200000</v>
      </c>
      <c r="L59" s="27">
        <v>53556</v>
      </c>
      <c r="M59" s="28">
        <v>225000</v>
      </c>
      <c r="N59" s="28">
        <f t="shared" ref="N59:N60" si="27">L59*M59</f>
        <v>12050100000</v>
      </c>
      <c r="O59" s="29">
        <f t="shared" si="24"/>
        <v>3.3075756303143793E-2</v>
      </c>
    </row>
    <row r="60" spans="2:15" ht="15.75">
      <c r="B60" s="22"/>
      <c r="C60" s="23"/>
      <c r="D60" s="24"/>
      <c r="E60" s="24" t="s">
        <v>35</v>
      </c>
      <c r="F60" s="25" t="s">
        <v>44</v>
      </c>
      <c r="G60" s="24"/>
      <c r="H60" s="26"/>
      <c r="I60" s="27">
        <v>328998</v>
      </c>
      <c r="J60" s="28">
        <v>225000</v>
      </c>
      <c r="K60" s="28">
        <f t="shared" si="26"/>
        <v>74024550000</v>
      </c>
      <c r="L60" s="27">
        <v>19893</v>
      </c>
      <c r="M60" s="28">
        <v>225000</v>
      </c>
      <c r="N60" s="28">
        <f t="shared" si="27"/>
        <v>4475925000</v>
      </c>
      <c r="O60" s="29">
        <f t="shared" si="24"/>
        <v>6.0465413163605861E-2</v>
      </c>
    </row>
    <row r="61" spans="2:15" ht="15.75">
      <c r="B61" s="22"/>
      <c r="C61" s="23"/>
      <c r="D61" s="47" t="s">
        <v>12</v>
      </c>
      <c r="E61" s="45" t="s">
        <v>40</v>
      </c>
      <c r="F61" s="24"/>
      <c r="G61" s="24"/>
      <c r="H61" s="26"/>
      <c r="I61" s="48">
        <v>451810</v>
      </c>
      <c r="J61" s="49"/>
      <c r="K61" s="48">
        <f t="shared" ref="K61:L61" si="28">K62+K63</f>
        <v>169428750000</v>
      </c>
      <c r="L61" s="48">
        <f t="shared" si="28"/>
        <v>15516</v>
      </c>
      <c r="M61" s="49"/>
      <c r="N61" s="48">
        <f>N62+N63</f>
        <v>5818500000</v>
      </c>
      <c r="O61" s="29">
        <f t="shared" si="24"/>
        <v>3.4341869369867863E-2</v>
      </c>
    </row>
    <row r="62" spans="2:15" ht="15.75">
      <c r="B62" s="22"/>
      <c r="C62" s="23"/>
      <c r="D62" s="24"/>
      <c r="E62" s="24" t="s">
        <v>33</v>
      </c>
      <c r="F62" s="25" t="s">
        <v>34</v>
      </c>
      <c r="G62" s="24"/>
      <c r="H62" s="26"/>
      <c r="I62" s="27">
        <v>319858</v>
      </c>
      <c r="J62" s="28">
        <v>375000</v>
      </c>
      <c r="K62" s="28">
        <f t="shared" ref="K62:K63" si="29">I62*J62</f>
        <v>119946750000</v>
      </c>
      <c r="L62" s="27">
        <v>5911</v>
      </c>
      <c r="M62" s="28">
        <v>375000</v>
      </c>
      <c r="N62" s="28">
        <f t="shared" ref="N62:N63" si="30">L62*M62</f>
        <v>2216625000</v>
      </c>
      <c r="O62" s="29">
        <f t="shared" si="24"/>
        <v>1.8480075533517999E-2</v>
      </c>
    </row>
    <row r="63" spans="2:15" ht="15.75">
      <c r="B63" s="22"/>
      <c r="C63" s="23"/>
      <c r="D63" s="24"/>
      <c r="E63" s="24" t="s">
        <v>35</v>
      </c>
      <c r="F63" s="25" t="s">
        <v>44</v>
      </c>
      <c r="G63" s="24"/>
      <c r="H63" s="26"/>
      <c r="I63" s="27">
        <v>131952</v>
      </c>
      <c r="J63" s="28">
        <v>375000</v>
      </c>
      <c r="K63" s="28">
        <f t="shared" si="29"/>
        <v>49482000000</v>
      </c>
      <c r="L63" s="27">
        <v>9605</v>
      </c>
      <c r="M63" s="28">
        <v>375000</v>
      </c>
      <c r="N63" s="28">
        <f t="shared" si="30"/>
        <v>3601875000</v>
      </c>
      <c r="O63" s="29">
        <f t="shared" si="24"/>
        <v>7.279162119558627E-2</v>
      </c>
    </row>
    <row r="64" spans="2:15" ht="15.75">
      <c r="B64" s="22"/>
      <c r="C64" s="23"/>
      <c r="D64" s="24"/>
      <c r="E64" s="24"/>
      <c r="F64" s="25"/>
      <c r="G64" s="24"/>
      <c r="H64" s="26"/>
      <c r="I64" s="27"/>
      <c r="J64" s="49"/>
      <c r="K64" s="41"/>
      <c r="L64" s="27"/>
      <c r="M64" s="49"/>
      <c r="N64" s="41"/>
      <c r="O64" s="29"/>
    </row>
    <row r="65" spans="2:15" ht="15.75">
      <c r="B65" s="31"/>
      <c r="C65" s="32">
        <v>9</v>
      </c>
      <c r="D65" s="33" t="s">
        <v>45</v>
      </c>
      <c r="E65" s="34"/>
      <c r="F65" s="34"/>
      <c r="G65" s="34"/>
      <c r="H65" s="35"/>
      <c r="I65" s="36">
        <v>250000</v>
      </c>
      <c r="J65" s="37"/>
      <c r="K65" s="38">
        <f t="shared" ref="K65:L65" si="31">SUM(K66:K67)</f>
        <v>50337200000</v>
      </c>
      <c r="L65" s="36">
        <f t="shared" si="31"/>
        <v>10217</v>
      </c>
      <c r="M65" s="37"/>
      <c r="N65" s="38">
        <f>SUM(N66:N67)</f>
        <v>2055450000</v>
      </c>
      <c r="O65" s="39">
        <f t="shared" ref="O65:O67" si="32">N65/K65</f>
        <v>4.0833618079670703E-2</v>
      </c>
    </row>
    <row r="66" spans="2:15" ht="15.75">
      <c r="B66" s="22"/>
      <c r="C66" s="23"/>
      <c r="D66" s="24" t="s">
        <v>10</v>
      </c>
      <c r="E66" s="25" t="s">
        <v>46</v>
      </c>
      <c r="F66" s="24"/>
      <c r="G66" s="24"/>
      <c r="H66" s="26"/>
      <c r="I66" s="27">
        <v>121628</v>
      </c>
      <c r="J66" s="28">
        <v>150000</v>
      </c>
      <c r="K66" s="28">
        <f t="shared" ref="K66:K67" si="33">I66*J66</f>
        <v>18244200000</v>
      </c>
      <c r="L66" s="27">
        <v>4988</v>
      </c>
      <c r="M66" s="28">
        <v>150000</v>
      </c>
      <c r="N66" s="28">
        <f t="shared" ref="N66:N67" si="34">L66*M66</f>
        <v>748200000</v>
      </c>
      <c r="O66" s="29">
        <f t="shared" si="32"/>
        <v>4.101029368237577E-2</v>
      </c>
    </row>
    <row r="67" spans="2:15" ht="15.75">
      <c r="B67" s="22"/>
      <c r="C67" s="23"/>
      <c r="D67" s="24" t="s">
        <v>12</v>
      </c>
      <c r="E67" s="25" t="s">
        <v>40</v>
      </c>
      <c r="F67" s="24"/>
      <c r="G67" s="24"/>
      <c r="H67" s="26"/>
      <c r="I67" s="27">
        <v>128372</v>
      </c>
      <c r="J67" s="28">
        <v>250000</v>
      </c>
      <c r="K67" s="28">
        <f t="shared" si="33"/>
        <v>32093000000</v>
      </c>
      <c r="L67" s="27">
        <v>5229</v>
      </c>
      <c r="M67" s="28">
        <v>250000</v>
      </c>
      <c r="N67" s="28">
        <f t="shared" si="34"/>
        <v>1307250000</v>
      </c>
      <c r="O67" s="29">
        <f t="shared" si="32"/>
        <v>4.073318169071137E-2</v>
      </c>
    </row>
    <row r="68" spans="2:15" ht="15.75">
      <c r="B68" s="22"/>
      <c r="C68" s="23"/>
      <c r="D68" s="24"/>
      <c r="E68" s="25"/>
      <c r="F68" s="24"/>
      <c r="G68" s="24"/>
      <c r="H68" s="26"/>
      <c r="I68" s="46"/>
      <c r="J68" s="49"/>
      <c r="K68" s="41"/>
      <c r="L68" s="46"/>
      <c r="M68" s="49"/>
      <c r="N68" s="41"/>
      <c r="O68" s="29"/>
    </row>
    <row r="69" spans="2:15" ht="15.75">
      <c r="B69" s="31"/>
      <c r="C69" s="32">
        <v>10</v>
      </c>
      <c r="D69" s="33" t="s">
        <v>47</v>
      </c>
      <c r="E69" s="34"/>
      <c r="F69" s="34"/>
      <c r="G69" s="34"/>
      <c r="H69" s="35"/>
      <c r="I69" s="36">
        <v>0</v>
      </c>
      <c r="J69" s="37"/>
      <c r="K69" s="38">
        <f t="shared" ref="K69:L69" si="35">+K70+K73</f>
        <v>0</v>
      </c>
      <c r="L69" s="36">
        <f t="shared" si="35"/>
        <v>0</v>
      </c>
      <c r="M69" s="37"/>
      <c r="N69" s="38">
        <f>+N70+N73</f>
        <v>0</v>
      </c>
      <c r="O69" s="39" t="e">
        <f t="shared" ref="O69:O75" si="36">N69/K69</f>
        <v>#DIV/0!</v>
      </c>
    </row>
    <row r="70" spans="2:15" ht="15.75">
      <c r="B70" s="22"/>
      <c r="C70" s="23"/>
      <c r="D70" s="47" t="s">
        <v>10</v>
      </c>
      <c r="E70" s="45" t="s">
        <v>46</v>
      </c>
      <c r="F70" s="24"/>
      <c r="G70" s="24"/>
      <c r="H70" s="26"/>
      <c r="I70" s="48">
        <v>0</v>
      </c>
      <c r="J70" s="49"/>
      <c r="K70" s="50">
        <f t="shared" ref="K70:L70" si="37">SUM(K71:K72)</f>
        <v>0</v>
      </c>
      <c r="L70" s="48">
        <f t="shared" si="37"/>
        <v>0</v>
      </c>
      <c r="M70" s="49"/>
      <c r="N70" s="50">
        <f>SUM(N71:N72)</f>
        <v>0</v>
      </c>
      <c r="O70" s="29" t="e">
        <f t="shared" si="36"/>
        <v>#DIV/0!</v>
      </c>
    </row>
    <row r="71" spans="2:15" ht="15.75">
      <c r="B71" s="22"/>
      <c r="C71" s="23"/>
      <c r="D71" s="24"/>
      <c r="E71" s="24" t="s">
        <v>33</v>
      </c>
      <c r="F71" s="25" t="s">
        <v>34</v>
      </c>
      <c r="G71" s="24"/>
      <c r="H71" s="26"/>
      <c r="I71" s="27">
        <v>0</v>
      </c>
      <c r="J71" s="28">
        <v>100000</v>
      </c>
      <c r="K71" s="28">
        <f t="shared" ref="K71:K72" si="38">I71*J71</f>
        <v>0</v>
      </c>
      <c r="L71" s="27">
        <f>'[1]L. MAT 09 STNKLBN'!G16</f>
        <v>0</v>
      </c>
      <c r="M71" s="28">
        <v>100000</v>
      </c>
      <c r="N71" s="28">
        <f t="shared" ref="N71:N72" si="39">L71*M71</f>
        <v>0</v>
      </c>
      <c r="O71" s="29" t="e">
        <f t="shared" si="36"/>
        <v>#DIV/0!</v>
      </c>
    </row>
    <row r="72" spans="2:15" ht="15.75">
      <c r="B72" s="22"/>
      <c r="C72" s="23"/>
      <c r="D72" s="24"/>
      <c r="E72" s="24" t="s">
        <v>35</v>
      </c>
      <c r="F72" s="25" t="s">
        <v>36</v>
      </c>
      <c r="G72" s="24"/>
      <c r="H72" s="26"/>
      <c r="I72" s="27">
        <v>0</v>
      </c>
      <c r="J72" s="28">
        <v>100000</v>
      </c>
      <c r="K72" s="28">
        <f t="shared" si="38"/>
        <v>0</v>
      </c>
      <c r="L72" s="27">
        <f>'[1]L. MAT 09 STNKLBN'!I16</f>
        <v>0</v>
      </c>
      <c r="M72" s="28">
        <v>100000</v>
      </c>
      <c r="N72" s="28">
        <f t="shared" si="39"/>
        <v>0</v>
      </c>
      <c r="O72" s="29" t="e">
        <f t="shared" si="36"/>
        <v>#DIV/0!</v>
      </c>
    </row>
    <row r="73" spans="2:15" ht="15.75">
      <c r="B73" s="22"/>
      <c r="C73" s="23"/>
      <c r="D73" s="47" t="s">
        <v>12</v>
      </c>
      <c r="E73" s="45" t="s">
        <v>40</v>
      </c>
      <c r="F73" s="24"/>
      <c r="G73" s="24"/>
      <c r="H73" s="26"/>
      <c r="I73" s="48">
        <v>0</v>
      </c>
      <c r="J73" s="49"/>
      <c r="K73" s="50">
        <f t="shared" ref="K73:L73" si="40">SUM(K74:K75)</f>
        <v>0</v>
      </c>
      <c r="L73" s="48">
        <f t="shared" si="40"/>
        <v>0</v>
      </c>
      <c r="M73" s="49"/>
      <c r="N73" s="50">
        <f>SUM(N74:N75)</f>
        <v>0</v>
      </c>
      <c r="O73" s="29" t="e">
        <f t="shared" si="36"/>
        <v>#DIV/0!</v>
      </c>
    </row>
    <row r="74" spans="2:15" ht="15.75">
      <c r="B74" s="22"/>
      <c r="C74" s="23"/>
      <c r="D74" s="24"/>
      <c r="E74" s="24" t="s">
        <v>33</v>
      </c>
      <c r="F74" s="25" t="s">
        <v>34</v>
      </c>
      <c r="G74" s="24"/>
      <c r="H74" s="26"/>
      <c r="I74" s="27">
        <v>0</v>
      </c>
      <c r="J74" s="28">
        <v>200000</v>
      </c>
      <c r="K74" s="28">
        <f t="shared" ref="K74:K75" si="41">I74*J74</f>
        <v>0</v>
      </c>
      <c r="L74" s="27">
        <f>'[1]L. MAT 09 STNKLBN'!H16</f>
        <v>0</v>
      </c>
      <c r="M74" s="28">
        <v>200000</v>
      </c>
      <c r="N74" s="28">
        <f t="shared" ref="N74:N75" si="42">L74*M74</f>
        <v>0</v>
      </c>
      <c r="O74" s="29" t="e">
        <f t="shared" si="36"/>
        <v>#DIV/0!</v>
      </c>
    </row>
    <row r="75" spans="2:15" ht="15.75">
      <c r="B75" s="22"/>
      <c r="C75" s="23"/>
      <c r="D75" s="24"/>
      <c r="E75" s="24" t="s">
        <v>35</v>
      </c>
      <c r="F75" s="25" t="s">
        <v>36</v>
      </c>
      <c r="G75" s="24"/>
      <c r="H75" s="26"/>
      <c r="I75" s="27">
        <v>0</v>
      </c>
      <c r="J75" s="28">
        <v>200000</v>
      </c>
      <c r="K75" s="28">
        <f t="shared" si="41"/>
        <v>0</v>
      </c>
      <c r="L75" s="27">
        <f>'[1]L. MAT 09 STNKLBN'!J16</f>
        <v>0</v>
      </c>
      <c r="M75" s="28">
        <v>200000</v>
      </c>
      <c r="N75" s="28">
        <f t="shared" si="42"/>
        <v>0</v>
      </c>
      <c r="O75" s="29" t="e">
        <f t="shared" si="36"/>
        <v>#DIV/0!</v>
      </c>
    </row>
    <row r="76" spans="2:15" ht="15.75">
      <c r="B76" s="51"/>
      <c r="C76" s="52"/>
      <c r="D76" s="53"/>
      <c r="E76" s="53"/>
      <c r="F76" s="54"/>
      <c r="G76" s="53"/>
      <c r="H76" s="55"/>
      <c r="I76" s="56"/>
      <c r="J76" s="68"/>
      <c r="K76" s="68"/>
      <c r="L76" s="56"/>
      <c r="M76" s="68"/>
      <c r="N76" s="68"/>
      <c r="O76" s="59"/>
    </row>
    <row r="77" spans="2:15" ht="15.75">
      <c r="B77" s="31"/>
      <c r="C77" s="32">
        <v>11</v>
      </c>
      <c r="D77" s="33" t="s">
        <v>48</v>
      </c>
      <c r="E77" s="42"/>
      <c r="F77" s="34"/>
      <c r="G77" s="34"/>
      <c r="H77" s="35"/>
      <c r="I77" s="36">
        <v>0</v>
      </c>
      <c r="J77" s="37"/>
      <c r="K77" s="38">
        <f t="shared" ref="K77:L77" si="43">K78+K81</f>
        <v>0</v>
      </c>
      <c r="L77" s="36">
        <f t="shared" si="43"/>
        <v>0</v>
      </c>
      <c r="M77" s="37"/>
      <c r="N77" s="38">
        <f>N78+N81</f>
        <v>0</v>
      </c>
      <c r="O77" s="39" t="e">
        <f t="shared" ref="O77:O83" si="44">N77/K77</f>
        <v>#DIV/0!</v>
      </c>
    </row>
    <row r="78" spans="2:15" ht="15.75">
      <c r="B78" s="22"/>
      <c r="C78" s="23"/>
      <c r="D78" s="47" t="s">
        <v>10</v>
      </c>
      <c r="E78" s="45" t="s">
        <v>46</v>
      </c>
      <c r="F78" s="24"/>
      <c r="G78" s="24"/>
      <c r="H78" s="26"/>
      <c r="I78" s="48">
        <v>0</v>
      </c>
      <c r="J78" s="49"/>
      <c r="K78" s="50">
        <f t="shared" ref="K78:L78" si="45">SUM(K79:K80)</f>
        <v>0</v>
      </c>
      <c r="L78" s="48">
        <f t="shared" si="45"/>
        <v>0</v>
      </c>
      <c r="M78" s="49"/>
      <c r="N78" s="50">
        <f>SUM(N79:N80)</f>
        <v>0</v>
      </c>
      <c r="O78" s="29" t="e">
        <f t="shared" si="44"/>
        <v>#DIV/0!</v>
      </c>
    </row>
    <row r="79" spans="2:15" ht="15.75">
      <c r="B79" s="22"/>
      <c r="C79" s="23"/>
      <c r="D79" s="24"/>
      <c r="E79" s="24" t="s">
        <v>33</v>
      </c>
      <c r="F79" s="25" t="s">
        <v>34</v>
      </c>
      <c r="G79" s="24"/>
      <c r="H79" s="26"/>
      <c r="I79" s="27">
        <v>0</v>
      </c>
      <c r="J79" s="28">
        <v>100000</v>
      </c>
      <c r="K79" s="28">
        <f t="shared" ref="K79:K80" si="46">I79*J79</f>
        <v>0</v>
      </c>
      <c r="L79" s="27">
        <f>'[1]L. MAT 10 TNKB LBN'!G16</f>
        <v>0</v>
      </c>
      <c r="M79" s="28">
        <v>100000</v>
      </c>
      <c r="N79" s="28">
        <f t="shared" ref="N79:N80" si="47">L79*M79</f>
        <v>0</v>
      </c>
      <c r="O79" s="29" t="e">
        <f t="shared" si="44"/>
        <v>#DIV/0!</v>
      </c>
    </row>
    <row r="80" spans="2:15" ht="15.75">
      <c r="B80" s="22"/>
      <c r="C80" s="23"/>
      <c r="D80" s="24"/>
      <c r="E80" s="24" t="s">
        <v>35</v>
      </c>
      <c r="F80" s="25" t="s">
        <v>36</v>
      </c>
      <c r="G80" s="24"/>
      <c r="H80" s="26"/>
      <c r="I80" s="27"/>
      <c r="J80" s="28">
        <v>100000</v>
      </c>
      <c r="K80" s="28">
        <f t="shared" si="46"/>
        <v>0</v>
      </c>
      <c r="L80" s="27">
        <f>'[1]L. MAT 10 TNKB LBN'!I16</f>
        <v>0</v>
      </c>
      <c r="M80" s="28">
        <v>100000</v>
      </c>
      <c r="N80" s="28">
        <f t="shared" si="47"/>
        <v>0</v>
      </c>
      <c r="O80" s="29" t="e">
        <f t="shared" si="44"/>
        <v>#DIV/0!</v>
      </c>
    </row>
    <row r="81" spans="2:15" ht="15.75">
      <c r="B81" s="22"/>
      <c r="C81" s="23"/>
      <c r="D81" s="47" t="s">
        <v>12</v>
      </c>
      <c r="E81" s="45" t="s">
        <v>40</v>
      </c>
      <c r="F81" s="24"/>
      <c r="G81" s="24"/>
      <c r="H81" s="26"/>
      <c r="I81" s="48">
        <v>0</v>
      </c>
      <c r="J81" s="49"/>
      <c r="K81" s="50">
        <f t="shared" ref="K81:L81" si="48">SUM(K82:K83)</f>
        <v>0</v>
      </c>
      <c r="L81" s="48">
        <f t="shared" si="48"/>
        <v>0</v>
      </c>
      <c r="M81" s="49"/>
      <c r="N81" s="50">
        <f>SUM(N82:N83)</f>
        <v>0</v>
      </c>
      <c r="O81" s="29" t="e">
        <f t="shared" si="44"/>
        <v>#DIV/0!</v>
      </c>
    </row>
    <row r="82" spans="2:15" ht="15.75">
      <c r="B82" s="22"/>
      <c r="C82" s="23"/>
      <c r="D82" s="24"/>
      <c r="E82" s="24" t="s">
        <v>33</v>
      </c>
      <c r="F82" s="25" t="s">
        <v>34</v>
      </c>
      <c r="G82" s="24"/>
      <c r="H82" s="26"/>
      <c r="I82" s="27">
        <v>0</v>
      </c>
      <c r="J82" s="28">
        <v>200000</v>
      </c>
      <c r="K82" s="28">
        <f t="shared" ref="K82:K83" si="49">I82*J82</f>
        <v>0</v>
      </c>
      <c r="L82" s="27">
        <f>'[1]L. MAT 10 TNKB LBN'!H16</f>
        <v>0</v>
      </c>
      <c r="M82" s="28">
        <v>200000</v>
      </c>
      <c r="N82" s="28">
        <f t="shared" ref="N82:N83" si="50">L82*M82</f>
        <v>0</v>
      </c>
      <c r="O82" s="29" t="e">
        <f t="shared" si="44"/>
        <v>#DIV/0!</v>
      </c>
    </row>
    <row r="83" spans="2:15" ht="15.75">
      <c r="B83" s="22"/>
      <c r="C83" s="23"/>
      <c r="D83" s="24"/>
      <c r="E83" s="24" t="s">
        <v>35</v>
      </c>
      <c r="F83" s="25" t="s">
        <v>36</v>
      </c>
      <c r="G83" s="24"/>
      <c r="H83" s="26"/>
      <c r="I83" s="27">
        <v>0</v>
      </c>
      <c r="J83" s="28">
        <v>200000</v>
      </c>
      <c r="K83" s="28">
        <f t="shared" si="49"/>
        <v>0</v>
      </c>
      <c r="L83" s="27">
        <f>'[1]L. MAT 10 TNKB LBN'!J16</f>
        <v>0</v>
      </c>
      <c r="M83" s="28">
        <v>200000</v>
      </c>
      <c r="N83" s="28">
        <f t="shared" si="50"/>
        <v>0</v>
      </c>
      <c r="O83" s="29" t="e">
        <f t="shared" si="44"/>
        <v>#DIV/0!</v>
      </c>
    </row>
    <row r="84" spans="2:15" ht="15.75">
      <c r="B84" s="22"/>
      <c r="C84" s="23"/>
      <c r="D84" s="24"/>
      <c r="E84" s="25"/>
      <c r="F84" s="24"/>
      <c r="G84" s="24"/>
      <c r="H84" s="26"/>
      <c r="I84" s="27"/>
      <c r="J84" s="49"/>
      <c r="K84" s="41"/>
      <c r="L84" s="27"/>
      <c r="M84" s="49"/>
      <c r="N84" s="41"/>
      <c r="O84" s="29"/>
    </row>
    <row r="85" spans="2:15" ht="15.75">
      <c r="B85" s="31"/>
      <c r="C85" s="32">
        <v>12</v>
      </c>
      <c r="D85" s="33" t="s">
        <v>49</v>
      </c>
      <c r="E85" s="42"/>
      <c r="F85" s="42"/>
      <c r="G85" s="42"/>
      <c r="H85" s="35"/>
      <c r="I85" s="36">
        <v>12000</v>
      </c>
      <c r="J85" s="37"/>
      <c r="K85" s="38">
        <f t="shared" ref="K85:L85" si="51">+K86+K89+K92+K95</f>
        <v>99500000000</v>
      </c>
      <c r="L85" s="36">
        <f t="shared" si="51"/>
        <v>518</v>
      </c>
      <c r="M85" s="37"/>
      <c r="N85" s="38">
        <f>+N86+N89+N92+N95</f>
        <v>4555000000</v>
      </c>
      <c r="O85" s="39">
        <f t="shared" ref="O85:O97" si="52">N85/K85</f>
        <v>4.577889447236181E-2</v>
      </c>
    </row>
    <row r="86" spans="2:15" ht="15.75">
      <c r="B86" s="22"/>
      <c r="C86" s="23"/>
      <c r="D86" s="47" t="s">
        <v>10</v>
      </c>
      <c r="E86" s="45" t="s">
        <v>50</v>
      </c>
      <c r="F86" s="24"/>
      <c r="G86" s="24"/>
      <c r="H86" s="26"/>
      <c r="I86" s="48">
        <v>1053</v>
      </c>
      <c r="J86" s="49"/>
      <c r="K86" s="50">
        <f t="shared" ref="K86:L86" si="53">SUM(K87:K88)</f>
        <v>16585000000</v>
      </c>
      <c r="L86" s="48">
        <f t="shared" si="53"/>
        <v>51</v>
      </c>
      <c r="M86" s="49"/>
      <c r="N86" s="50">
        <f>SUM(N87:N88)</f>
        <v>765000000</v>
      </c>
      <c r="O86" s="29">
        <f t="shared" si="52"/>
        <v>4.6126017485679828E-2</v>
      </c>
    </row>
    <row r="87" spans="2:15" ht="15.75">
      <c r="B87" s="22"/>
      <c r="C87" s="23"/>
      <c r="D87" s="24"/>
      <c r="E87" s="24" t="s">
        <v>33</v>
      </c>
      <c r="F87" s="25" t="s">
        <v>51</v>
      </c>
      <c r="G87" s="24"/>
      <c r="H87" s="26"/>
      <c r="I87" s="27">
        <v>158</v>
      </c>
      <c r="J87" s="28">
        <v>20000000</v>
      </c>
      <c r="K87" s="28">
        <f t="shared" ref="K87:K88" si="54">I87*J87</f>
        <v>3160000000</v>
      </c>
      <c r="L87" s="27">
        <v>0</v>
      </c>
      <c r="M87" s="28">
        <v>20000000</v>
      </c>
      <c r="N87" s="28">
        <f t="shared" ref="N87:N88" si="55">L87*M87</f>
        <v>0</v>
      </c>
      <c r="O87" s="29">
        <f t="shared" si="52"/>
        <v>0</v>
      </c>
    </row>
    <row r="88" spans="2:15" ht="15.75">
      <c r="B88" s="22"/>
      <c r="C88" s="23"/>
      <c r="D88" s="24"/>
      <c r="E88" s="24" t="s">
        <v>35</v>
      </c>
      <c r="F88" s="25" t="s">
        <v>52</v>
      </c>
      <c r="G88" s="24"/>
      <c r="H88" s="26"/>
      <c r="I88" s="27">
        <v>895</v>
      </c>
      <c r="J88" s="28">
        <v>15000000</v>
      </c>
      <c r="K88" s="28">
        <f t="shared" si="54"/>
        <v>13425000000</v>
      </c>
      <c r="L88" s="27">
        <v>51</v>
      </c>
      <c r="M88" s="28">
        <v>15000000</v>
      </c>
      <c r="N88" s="28">
        <f t="shared" si="55"/>
        <v>765000000</v>
      </c>
      <c r="O88" s="29">
        <f t="shared" si="52"/>
        <v>5.6983240223463689E-2</v>
      </c>
    </row>
    <row r="89" spans="2:15" ht="15.75">
      <c r="B89" s="22"/>
      <c r="C89" s="23"/>
      <c r="D89" s="47" t="s">
        <v>12</v>
      </c>
      <c r="E89" s="45" t="s">
        <v>53</v>
      </c>
      <c r="F89" s="24"/>
      <c r="G89" s="24"/>
      <c r="H89" s="26"/>
      <c r="I89" s="48">
        <v>2383</v>
      </c>
      <c r="J89" s="49"/>
      <c r="K89" s="50">
        <f t="shared" ref="K89:L89" si="56">SUM(K90:K91)</f>
        <v>25435000000</v>
      </c>
      <c r="L89" s="48">
        <f t="shared" si="56"/>
        <v>127</v>
      </c>
      <c r="M89" s="49"/>
      <c r="N89" s="50">
        <f>SUM(N90:N91)</f>
        <v>1305000000</v>
      </c>
      <c r="O89" s="29">
        <f t="shared" si="52"/>
        <v>5.1307253784155689E-2</v>
      </c>
    </row>
    <row r="90" spans="2:15" ht="15.75">
      <c r="B90" s="22"/>
      <c r="C90" s="23"/>
      <c r="D90" s="24"/>
      <c r="E90" s="24" t="s">
        <v>33</v>
      </c>
      <c r="F90" s="25" t="s">
        <v>51</v>
      </c>
      <c r="G90" s="24"/>
      <c r="H90" s="26"/>
      <c r="I90" s="27">
        <v>321</v>
      </c>
      <c r="J90" s="28">
        <v>15000000</v>
      </c>
      <c r="K90" s="28">
        <f t="shared" ref="K90:K91" si="57">I90*J90</f>
        <v>4815000000</v>
      </c>
      <c r="L90" s="27">
        <v>7</v>
      </c>
      <c r="M90" s="28">
        <v>15000000</v>
      </c>
      <c r="N90" s="28">
        <f t="shared" ref="N90:N91" si="58">L90*M90</f>
        <v>105000000</v>
      </c>
      <c r="O90" s="29">
        <f t="shared" si="52"/>
        <v>2.1806853582554516E-2</v>
      </c>
    </row>
    <row r="91" spans="2:15" ht="15">
      <c r="B91" s="69"/>
      <c r="C91" s="70"/>
      <c r="D91" s="25"/>
      <c r="E91" s="24" t="s">
        <v>35</v>
      </c>
      <c r="F91" s="25" t="s">
        <v>52</v>
      </c>
      <c r="G91" s="25"/>
      <c r="H91" s="71"/>
      <c r="I91" s="27">
        <v>2062</v>
      </c>
      <c r="J91" s="28">
        <v>10000000</v>
      </c>
      <c r="K91" s="28">
        <f t="shared" si="57"/>
        <v>20620000000</v>
      </c>
      <c r="L91" s="27">
        <v>120</v>
      </c>
      <c r="M91" s="28">
        <v>10000000</v>
      </c>
      <c r="N91" s="28">
        <f t="shared" si="58"/>
        <v>1200000000</v>
      </c>
      <c r="O91" s="29">
        <f t="shared" si="52"/>
        <v>5.8195926285160036E-2</v>
      </c>
    </row>
    <row r="92" spans="2:15" ht="15.75">
      <c r="B92" s="69"/>
      <c r="C92" s="70"/>
      <c r="D92" s="47" t="s">
        <v>14</v>
      </c>
      <c r="E92" s="45" t="s">
        <v>54</v>
      </c>
      <c r="F92" s="25"/>
      <c r="G92" s="25"/>
      <c r="H92" s="71"/>
      <c r="I92" s="48">
        <v>4609</v>
      </c>
      <c r="J92" s="28"/>
      <c r="K92" s="50">
        <f t="shared" ref="K92:L92" si="59">SUM(K93:K94)</f>
        <v>35915000000</v>
      </c>
      <c r="L92" s="48">
        <f t="shared" si="59"/>
        <v>268</v>
      </c>
      <c r="M92" s="28"/>
      <c r="N92" s="50">
        <f>SUM(N93:N94)</f>
        <v>2070000000</v>
      </c>
      <c r="O92" s="29">
        <f t="shared" si="52"/>
        <v>5.7636085201169425E-2</v>
      </c>
    </row>
    <row r="93" spans="2:15" ht="15">
      <c r="B93" s="69"/>
      <c r="C93" s="70"/>
      <c r="D93" s="24"/>
      <c r="E93" s="24" t="s">
        <v>33</v>
      </c>
      <c r="F93" s="25" t="s">
        <v>51</v>
      </c>
      <c r="G93" s="25"/>
      <c r="H93" s="71"/>
      <c r="I93" s="27">
        <v>539</v>
      </c>
      <c r="J93" s="28">
        <v>10000000</v>
      </c>
      <c r="K93" s="28">
        <f t="shared" ref="K93:K94" si="60">I93*J93</f>
        <v>5390000000</v>
      </c>
      <c r="L93" s="27">
        <v>24</v>
      </c>
      <c r="M93" s="28">
        <v>10000000</v>
      </c>
      <c r="N93" s="28">
        <f t="shared" ref="N93:N94" si="61">L93*M93</f>
        <v>240000000</v>
      </c>
      <c r="O93" s="29">
        <f t="shared" si="52"/>
        <v>4.4526901669758812E-2</v>
      </c>
    </row>
    <row r="94" spans="2:15" ht="15">
      <c r="B94" s="69"/>
      <c r="C94" s="70"/>
      <c r="D94" s="24"/>
      <c r="E94" s="24" t="s">
        <v>35</v>
      </c>
      <c r="F94" s="25" t="s">
        <v>52</v>
      </c>
      <c r="G94" s="25"/>
      <c r="H94" s="71"/>
      <c r="I94" s="27">
        <v>4070</v>
      </c>
      <c r="J94" s="28">
        <v>7500000</v>
      </c>
      <c r="K94" s="28">
        <f t="shared" si="60"/>
        <v>30525000000</v>
      </c>
      <c r="L94" s="27">
        <v>244</v>
      </c>
      <c r="M94" s="28">
        <v>7500000</v>
      </c>
      <c r="N94" s="28">
        <f t="shared" si="61"/>
        <v>1830000000</v>
      </c>
      <c r="O94" s="29">
        <f t="shared" si="52"/>
        <v>5.9950859950859949E-2</v>
      </c>
    </row>
    <row r="95" spans="2:15" ht="15.75">
      <c r="B95" s="69"/>
      <c r="C95" s="70"/>
      <c r="D95" s="47" t="s">
        <v>16</v>
      </c>
      <c r="E95" s="45" t="s">
        <v>55</v>
      </c>
      <c r="F95" s="25"/>
      <c r="G95" s="25"/>
      <c r="H95" s="71"/>
      <c r="I95" s="48">
        <v>3955</v>
      </c>
      <c r="J95" s="28"/>
      <c r="K95" s="50">
        <f t="shared" ref="K95:L95" si="62">SUM(K96:K97)</f>
        <v>21565000000</v>
      </c>
      <c r="L95" s="48">
        <f t="shared" si="62"/>
        <v>72</v>
      </c>
      <c r="M95" s="28"/>
      <c r="N95" s="50">
        <f>SUM(N96:N97)</f>
        <v>415000000</v>
      </c>
      <c r="O95" s="29">
        <f t="shared" si="52"/>
        <v>1.9244145606306516E-2</v>
      </c>
    </row>
    <row r="96" spans="2:15" ht="15">
      <c r="B96" s="69"/>
      <c r="C96" s="70"/>
      <c r="D96" s="25"/>
      <c r="E96" s="24" t="s">
        <v>33</v>
      </c>
      <c r="F96" s="25" t="s">
        <v>51</v>
      </c>
      <c r="G96" s="25"/>
      <c r="H96" s="71"/>
      <c r="I96" s="27">
        <v>716</v>
      </c>
      <c r="J96" s="28">
        <v>7500000</v>
      </c>
      <c r="K96" s="28">
        <f t="shared" ref="K96:K97" si="63">I96*J96</f>
        <v>5370000000</v>
      </c>
      <c r="L96" s="27">
        <v>22</v>
      </c>
      <c r="M96" s="28">
        <v>7500000</v>
      </c>
      <c r="N96" s="28">
        <f t="shared" ref="N96:N97" si="64">L96*M96</f>
        <v>165000000</v>
      </c>
      <c r="O96" s="29">
        <f t="shared" si="52"/>
        <v>3.0726256983240222E-2</v>
      </c>
    </row>
    <row r="97" spans="2:15" ht="15">
      <c r="B97" s="69"/>
      <c r="C97" s="70"/>
      <c r="D97" s="25"/>
      <c r="E97" s="24" t="s">
        <v>35</v>
      </c>
      <c r="F97" s="25" t="s">
        <v>52</v>
      </c>
      <c r="G97" s="25"/>
      <c r="H97" s="71"/>
      <c r="I97" s="27">
        <v>3239</v>
      </c>
      <c r="J97" s="28">
        <v>5000000</v>
      </c>
      <c r="K97" s="28">
        <f t="shared" si="63"/>
        <v>16195000000</v>
      </c>
      <c r="L97" s="27">
        <v>50</v>
      </c>
      <c r="M97" s="28">
        <v>5000000</v>
      </c>
      <c r="N97" s="28">
        <f t="shared" si="64"/>
        <v>250000000</v>
      </c>
      <c r="O97" s="29">
        <f t="shared" si="52"/>
        <v>1.5436863229391787E-2</v>
      </c>
    </row>
    <row r="98" spans="2:15" ht="15">
      <c r="B98" s="72"/>
      <c r="C98" s="73"/>
      <c r="D98" s="74"/>
      <c r="E98" s="74"/>
      <c r="F98" s="74"/>
      <c r="G98" s="74"/>
      <c r="H98" s="75"/>
      <c r="I98" s="76"/>
      <c r="J98" s="77"/>
      <c r="K98" s="78"/>
      <c r="L98" s="76"/>
      <c r="M98" s="77"/>
      <c r="N98" s="78"/>
      <c r="O98" s="79"/>
    </row>
    <row r="99" spans="2:15" ht="15.75">
      <c r="B99" s="80"/>
      <c r="C99" s="105" t="s">
        <v>56</v>
      </c>
      <c r="D99" s="103"/>
      <c r="E99" s="103"/>
      <c r="F99" s="103"/>
      <c r="G99" s="103"/>
      <c r="H99" s="104"/>
      <c r="I99" s="81">
        <f>SUM(I13,I24,I35,I37,I45,I49,I53,I57,I65,I69,I77,I85)</f>
        <v>19337001</v>
      </c>
      <c r="J99" s="81"/>
      <c r="K99" s="81">
        <f>SUM(K13,K24,K35,K37,K45,K49,K53,K57,K65,K69,K77,K85)</f>
        <v>2210588370000</v>
      </c>
      <c r="L99" s="81">
        <f>SUM(L13,L24,L35,L37,L45,L49,L53,L57,L65,L69,L77,L85)</f>
        <v>711554</v>
      </c>
      <c r="M99" s="81"/>
      <c r="N99" s="81">
        <f>SUM(N13,N24,N35,N37,N45,N49,N53,N57,N65,N69,N77,N85)</f>
        <v>80124855000</v>
      </c>
      <c r="O99" s="82">
        <f>N99/K99</f>
        <v>3.6245940713060025E-2</v>
      </c>
    </row>
    <row r="100" spans="2:15" ht="15.75">
      <c r="B100" s="83"/>
      <c r="C100" s="84"/>
      <c r="D100" s="84"/>
      <c r="E100" s="84"/>
      <c r="F100" s="84"/>
      <c r="G100" s="84"/>
      <c r="H100" s="84"/>
      <c r="I100" s="85"/>
      <c r="J100" s="84"/>
      <c r="K100" s="84"/>
      <c r="L100" s="85"/>
      <c r="M100" s="84"/>
      <c r="N100" s="86"/>
      <c r="O100" s="87"/>
    </row>
    <row r="101" spans="2:15" ht="15.75">
      <c r="B101" s="83"/>
      <c r="C101" s="88"/>
      <c r="D101" s="84"/>
      <c r="E101" s="84"/>
      <c r="F101" s="84"/>
      <c r="G101" s="84"/>
      <c r="H101" s="84"/>
      <c r="I101" s="84"/>
      <c r="J101" s="84"/>
      <c r="K101" s="84"/>
      <c r="L101" s="84"/>
      <c r="M101" s="106"/>
      <c r="N101" s="100"/>
      <c r="O101" s="100"/>
    </row>
    <row r="102" spans="2:15" ht="15.75">
      <c r="B102" s="101"/>
      <c r="C102" s="100"/>
      <c r="D102" s="100"/>
      <c r="E102" s="100"/>
      <c r="F102" s="100"/>
      <c r="G102" s="84"/>
      <c r="H102" s="84"/>
      <c r="I102" s="84"/>
      <c r="J102" s="84"/>
      <c r="K102" s="84"/>
      <c r="L102" s="84"/>
      <c r="M102" s="101"/>
      <c r="N102" s="100"/>
      <c r="O102" s="100"/>
    </row>
    <row r="103" spans="2:15" ht="15.75">
      <c r="B103" s="89"/>
      <c r="C103" s="89"/>
      <c r="D103" s="89"/>
      <c r="E103" s="84"/>
      <c r="F103" s="84"/>
      <c r="G103" s="84"/>
      <c r="H103" s="84"/>
      <c r="I103" s="86"/>
      <c r="J103" s="86"/>
      <c r="K103" s="86"/>
      <c r="L103" s="86"/>
      <c r="M103" s="89"/>
      <c r="N103" s="89"/>
      <c r="O103" s="89"/>
    </row>
    <row r="104" spans="2:15" ht="15.75">
      <c r="B104" s="101"/>
      <c r="C104" s="100"/>
      <c r="D104" s="100"/>
      <c r="E104" s="100"/>
      <c r="F104" s="100"/>
      <c r="G104" s="84"/>
      <c r="H104" s="84"/>
      <c r="I104" s="84"/>
      <c r="J104" s="84"/>
      <c r="K104" s="84"/>
      <c r="L104" s="84"/>
      <c r="M104" s="101"/>
      <c r="N104" s="100"/>
      <c r="O104" s="100"/>
    </row>
    <row r="105" spans="2:15" ht="15.75">
      <c r="B105" s="89"/>
      <c r="C105" s="89"/>
      <c r="D105" s="89"/>
      <c r="E105" s="84"/>
      <c r="F105" s="84"/>
      <c r="G105" s="84"/>
      <c r="H105" s="84"/>
      <c r="I105" s="84"/>
      <c r="J105" s="84"/>
      <c r="K105" s="84"/>
      <c r="L105" s="84"/>
      <c r="M105" s="89"/>
      <c r="N105" s="89"/>
      <c r="O105" s="89"/>
    </row>
    <row r="106" spans="2:15" ht="15.75">
      <c r="B106" s="99"/>
      <c r="C106" s="100"/>
      <c r="D106" s="100"/>
      <c r="E106" s="100"/>
      <c r="F106" s="100"/>
      <c r="G106" s="84"/>
      <c r="H106" s="84"/>
      <c r="I106" s="84"/>
      <c r="J106" s="84"/>
      <c r="K106" s="84"/>
      <c r="L106" s="84"/>
      <c r="M106" s="99"/>
      <c r="N106" s="100"/>
      <c r="O106" s="100"/>
    </row>
    <row r="107" spans="2:15" ht="15.75">
      <c r="B107" s="101"/>
      <c r="C107" s="100"/>
      <c r="D107" s="100"/>
      <c r="E107" s="100"/>
      <c r="F107" s="100"/>
      <c r="G107" s="84"/>
      <c r="H107" s="84"/>
      <c r="I107" s="84"/>
      <c r="J107" s="84"/>
      <c r="K107" s="84"/>
      <c r="L107" s="84"/>
      <c r="M107" s="101"/>
      <c r="N107" s="100"/>
      <c r="O107" s="100"/>
    </row>
  </sheetData>
  <mergeCells count="20">
    <mergeCell ref="B2:G5"/>
    <mergeCell ref="B6:O6"/>
    <mergeCell ref="B7:O7"/>
    <mergeCell ref="B9:H9"/>
    <mergeCell ref="B10:B11"/>
    <mergeCell ref="C10:H11"/>
    <mergeCell ref="I10:K10"/>
    <mergeCell ref="L10:N10"/>
    <mergeCell ref="O10:O11"/>
    <mergeCell ref="B106:F106"/>
    <mergeCell ref="M106:O106"/>
    <mergeCell ref="B107:F107"/>
    <mergeCell ref="M107:O107"/>
    <mergeCell ref="C12:H12"/>
    <mergeCell ref="C99:H99"/>
    <mergeCell ref="M101:O101"/>
    <mergeCell ref="B102:F102"/>
    <mergeCell ref="M102:O102"/>
    <mergeCell ref="B104:F104"/>
    <mergeCell ref="M104:O10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7"/>
  <sheetViews>
    <sheetView topLeftCell="I70" workbookViewId="0">
      <selection activeCell="O49" sqref="O49"/>
    </sheetView>
  </sheetViews>
  <sheetFormatPr defaultRowHeight="14.25"/>
  <cols>
    <col min="2" max="2" width="5.875" customWidth="1"/>
    <col min="3" max="10" width="16.125" customWidth="1"/>
    <col min="11" max="11" width="26.25" customWidth="1"/>
    <col min="12" max="13" width="16.125" customWidth="1"/>
    <col min="14" max="14" width="20.75" customWidth="1"/>
    <col min="15" max="15" width="16.125" customWidth="1"/>
  </cols>
  <sheetData>
    <row r="1" spans="2:15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2:15" ht="15">
      <c r="B2" s="107"/>
      <c r="C2" s="108"/>
      <c r="D2" s="108"/>
      <c r="E2" s="108"/>
      <c r="F2" s="108"/>
      <c r="G2" s="108"/>
      <c r="H2" s="3"/>
      <c r="I2" s="3"/>
      <c r="J2" s="3"/>
      <c r="K2" s="3"/>
      <c r="L2" s="3"/>
      <c r="M2" s="3"/>
      <c r="N2" s="3"/>
      <c r="O2" s="4"/>
    </row>
    <row r="3" spans="2:15" ht="15">
      <c r="B3" s="108"/>
      <c r="C3" s="100"/>
      <c r="D3" s="100"/>
      <c r="E3" s="100"/>
      <c r="F3" s="100"/>
      <c r="G3" s="108"/>
      <c r="H3" s="3"/>
      <c r="I3" s="3"/>
      <c r="J3" s="3"/>
      <c r="K3" s="3"/>
      <c r="L3" s="3"/>
      <c r="M3" s="3"/>
      <c r="N3" s="3"/>
      <c r="O3" s="4"/>
    </row>
    <row r="4" spans="2:15" ht="15.75">
      <c r="B4" s="108"/>
      <c r="C4" s="100"/>
      <c r="D4" s="100"/>
      <c r="E4" s="100"/>
      <c r="F4" s="100"/>
      <c r="G4" s="108"/>
      <c r="H4" s="5"/>
      <c r="I4" s="3"/>
      <c r="J4" s="6"/>
      <c r="K4" s="7"/>
      <c r="L4" s="3"/>
      <c r="M4" s="6"/>
      <c r="N4" s="7"/>
      <c r="O4" s="4"/>
    </row>
    <row r="5" spans="2:15" ht="15.75">
      <c r="B5" s="108"/>
      <c r="C5" s="108"/>
      <c r="D5" s="108"/>
      <c r="E5" s="108"/>
      <c r="F5" s="108"/>
      <c r="G5" s="108"/>
      <c r="H5" s="5"/>
      <c r="I5" s="5"/>
      <c r="J5" s="8"/>
      <c r="K5" s="6"/>
      <c r="L5" s="5"/>
      <c r="M5" s="8"/>
      <c r="N5" s="6"/>
      <c r="O5" s="4"/>
    </row>
    <row r="6" spans="2:15" ht="15.75">
      <c r="B6" s="109" t="s">
        <v>57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</row>
    <row r="7" spans="2:15" ht="15.75">
      <c r="B7" s="110" t="s">
        <v>60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</row>
    <row r="8" spans="2:15" ht="15.7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ht="15.75">
      <c r="B9" s="111"/>
      <c r="C9" s="108"/>
      <c r="D9" s="108"/>
      <c r="E9" s="108"/>
      <c r="F9" s="108"/>
      <c r="G9" s="108"/>
      <c r="H9" s="108"/>
      <c r="I9" s="11"/>
      <c r="J9" s="9"/>
      <c r="K9" s="11"/>
      <c r="L9" s="11"/>
      <c r="M9" s="9"/>
      <c r="N9" s="11"/>
      <c r="O9" s="4"/>
    </row>
    <row r="10" spans="2:15" ht="15.75">
      <c r="B10" s="112" t="s">
        <v>0</v>
      </c>
      <c r="C10" s="114" t="s">
        <v>1</v>
      </c>
      <c r="D10" s="115"/>
      <c r="E10" s="115"/>
      <c r="F10" s="115"/>
      <c r="G10" s="115"/>
      <c r="H10" s="116"/>
      <c r="I10" s="120" t="s">
        <v>2</v>
      </c>
      <c r="J10" s="103"/>
      <c r="K10" s="104"/>
      <c r="L10" s="120" t="s">
        <v>3</v>
      </c>
      <c r="M10" s="103"/>
      <c r="N10" s="104"/>
      <c r="O10" s="121" t="s">
        <v>4</v>
      </c>
    </row>
    <row r="11" spans="2:15" ht="15.75">
      <c r="B11" s="113"/>
      <c r="C11" s="117"/>
      <c r="D11" s="118"/>
      <c r="E11" s="118"/>
      <c r="F11" s="118"/>
      <c r="G11" s="118"/>
      <c r="H11" s="119"/>
      <c r="I11" s="12" t="s">
        <v>5</v>
      </c>
      <c r="J11" s="12" t="s">
        <v>6</v>
      </c>
      <c r="K11" s="12" t="s">
        <v>7</v>
      </c>
      <c r="L11" s="12" t="s">
        <v>5</v>
      </c>
      <c r="M11" s="12" t="s">
        <v>6</v>
      </c>
      <c r="N11" s="12" t="s">
        <v>8</v>
      </c>
      <c r="O11" s="122"/>
    </row>
    <row r="12" spans="2:15" ht="15.75">
      <c r="B12" s="12">
        <v>1</v>
      </c>
      <c r="C12" s="102">
        <v>2</v>
      </c>
      <c r="D12" s="103"/>
      <c r="E12" s="103"/>
      <c r="F12" s="103"/>
      <c r="G12" s="103"/>
      <c r="H12" s="104"/>
      <c r="I12" s="12">
        <v>3</v>
      </c>
      <c r="J12" s="12">
        <v>4</v>
      </c>
      <c r="K12" s="12">
        <v>5</v>
      </c>
      <c r="L12" s="12">
        <v>3</v>
      </c>
      <c r="M12" s="12">
        <v>4</v>
      </c>
      <c r="N12" s="12">
        <v>5</v>
      </c>
      <c r="O12" s="12">
        <v>6</v>
      </c>
    </row>
    <row r="13" spans="2:15" ht="15.75">
      <c r="B13" s="13"/>
      <c r="C13" s="14">
        <v>1</v>
      </c>
      <c r="D13" s="15" t="s">
        <v>9</v>
      </c>
      <c r="E13" s="16"/>
      <c r="F13" s="16"/>
      <c r="G13" s="16"/>
      <c r="H13" s="17"/>
      <c r="I13" s="18">
        <v>1002980</v>
      </c>
      <c r="J13" s="19"/>
      <c r="K13" s="20">
        <f t="shared" ref="K13:L13" si="0">SUM(K14:K22)</f>
        <v>106956030000</v>
      </c>
      <c r="L13" s="18">
        <f t="shared" si="0"/>
        <v>22840</v>
      </c>
      <c r="M13" s="19"/>
      <c r="N13" s="20">
        <f>SUM(N14:N22)</f>
        <v>2493030000</v>
      </c>
      <c r="O13" s="21">
        <f t="shared" ref="O13:O22" si="1">N13/K13</f>
        <v>2.330892423737119E-2</v>
      </c>
    </row>
    <row r="14" spans="2:15" ht="15.75">
      <c r="B14" s="22"/>
      <c r="C14" s="23"/>
      <c r="D14" s="24" t="s">
        <v>10</v>
      </c>
      <c r="E14" s="25" t="s">
        <v>11</v>
      </c>
      <c r="F14" s="24"/>
      <c r="G14" s="24"/>
      <c r="H14" s="26"/>
      <c r="I14" s="27">
        <v>294130</v>
      </c>
      <c r="J14" s="28">
        <v>120000</v>
      </c>
      <c r="K14" s="28">
        <f t="shared" ref="K14:K22" si="2">I14*J14</f>
        <v>35295600000</v>
      </c>
      <c r="L14" s="27">
        <v>9321</v>
      </c>
      <c r="M14" s="28">
        <v>120000</v>
      </c>
      <c r="N14" s="28">
        <f t="shared" ref="N14:N22" si="3">L14*M14</f>
        <v>1118520000</v>
      </c>
      <c r="O14" s="29">
        <f t="shared" si="1"/>
        <v>3.169006901710128E-2</v>
      </c>
    </row>
    <row r="15" spans="2:15" ht="15.75">
      <c r="B15" s="22"/>
      <c r="C15" s="23"/>
      <c r="D15" s="24" t="s">
        <v>12</v>
      </c>
      <c r="E15" s="25" t="s">
        <v>13</v>
      </c>
      <c r="F15" s="24"/>
      <c r="G15" s="24"/>
      <c r="H15" s="26"/>
      <c r="I15" s="27">
        <v>30304</v>
      </c>
      <c r="J15" s="28">
        <v>120000</v>
      </c>
      <c r="K15" s="28">
        <f t="shared" si="2"/>
        <v>3636480000</v>
      </c>
      <c r="L15" s="27">
        <v>834</v>
      </c>
      <c r="M15" s="28">
        <v>120000</v>
      </c>
      <c r="N15" s="28">
        <f t="shared" si="3"/>
        <v>100080000</v>
      </c>
      <c r="O15" s="29">
        <f t="shared" si="1"/>
        <v>2.7521119324181626E-2</v>
      </c>
    </row>
    <row r="16" spans="2:15" ht="15.75">
      <c r="B16" s="22"/>
      <c r="C16" s="23"/>
      <c r="D16" s="24" t="s">
        <v>14</v>
      </c>
      <c r="E16" s="25" t="s">
        <v>15</v>
      </c>
      <c r="F16" s="24"/>
      <c r="G16" s="24"/>
      <c r="H16" s="26"/>
      <c r="I16" s="27">
        <v>13370</v>
      </c>
      <c r="J16" s="28">
        <v>120000</v>
      </c>
      <c r="K16" s="28">
        <f t="shared" si="2"/>
        <v>1604400000</v>
      </c>
      <c r="L16" s="27">
        <v>324</v>
      </c>
      <c r="M16" s="28">
        <v>120000</v>
      </c>
      <c r="N16" s="28">
        <f t="shared" si="3"/>
        <v>38880000</v>
      </c>
      <c r="O16" s="29">
        <f t="shared" si="1"/>
        <v>2.4233358264771878E-2</v>
      </c>
    </row>
    <row r="17" spans="2:15" ht="15.75">
      <c r="B17" s="22"/>
      <c r="C17" s="23"/>
      <c r="D17" s="24" t="s">
        <v>16</v>
      </c>
      <c r="E17" s="25" t="s">
        <v>17</v>
      </c>
      <c r="F17" s="24"/>
      <c r="G17" s="24"/>
      <c r="H17" s="26"/>
      <c r="I17" s="27">
        <v>662649</v>
      </c>
      <c r="J17" s="28">
        <v>100000</v>
      </c>
      <c r="K17" s="28">
        <f t="shared" si="2"/>
        <v>66264900000</v>
      </c>
      <c r="L17" s="27">
        <v>12348</v>
      </c>
      <c r="M17" s="28">
        <v>100000</v>
      </c>
      <c r="N17" s="28">
        <f t="shared" si="3"/>
        <v>1234800000</v>
      </c>
      <c r="O17" s="29">
        <f t="shared" si="1"/>
        <v>1.8634299606579047E-2</v>
      </c>
    </row>
    <row r="18" spans="2:15" ht="15.75">
      <c r="B18" s="22"/>
      <c r="C18" s="23"/>
      <c r="D18" s="24" t="s">
        <v>18</v>
      </c>
      <c r="E18" s="25" t="s">
        <v>19</v>
      </c>
      <c r="F18" s="24"/>
      <c r="G18" s="24"/>
      <c r="H18" s="26"/>
      <c r="I18" s="27">
        <v>299</v>
      </c>
      <c r="J18" s="28">
        <v>100000</v>
      </c>
      <c r="K18" s="28">
        <f t="shared" si="2"/>
        <v>29900000</v>
      </c>
      <c r="L18" s="27">
        <v>2</v>
      </c>
      <c r="M18" s="28">
        <v>100000</v>
      </c>
      <c r="N18" s="28">
        <f t="shared" si="3"/>
        <v>200000</v>
      </c>
      <c r="O18" s="29">
        <f t="shared" si="1"/>
        <v>6.688963210702341E-3</v>
      </c>
    </row>
    <row r="19" spans="2:15" ht="15.75">
      <c r="B19" s="22"/>
      <c r="C19" s="23"/>
      <c r="D19" s="24" t="s">
        <v>20</v>
      </c>
      <c r="E19" s="25" t="s">
        <v>21</v>
      </c>
      <c r="F19" s="24"/>
      <c r="G19" s="24"/>
      <c r="H19" s="26"/>
      <c r="I19" s="27">
        <v>267</v>
      </c>
      <c r="J19" s="28">
        <v>100000</v>
      </c>
      <c r="K19" s="28">
        <f t="shared" si="2"/>
        <v>26700000</v>
      </c>
      <c r="L19" s="27">
        <v>0</v>
      </c>
      <c r="M19" s="28">
        <v>100000</v>
      </c>
      <c r="N19" s="28">
        <f t="shared" si="3"/>
        <v>0</v>
      </c>
      <c r="O19" s="29">
        <f t="shared" si="1"/>
        <v>0</v>
      </c>
    </row>
    <row r="20" spans="2:15" ht="15.75">
      <c r="B20" s="22"/>
      <c r="C20" s="23"/>
      <c r="D20" s="24" t="s">
        <v>22</v>
      </c>
      <c r="E20" s="25" t="s">
        <v>23</v>
      </c>
      <c r="F20" s="24"/>
      <c r="G20" s="24"/>
      <c r="H20" s="26"/>
      <c r="I20" s="27">
        <v>1925</v>
      </c>
      <c r="J20" s="28">
        <v>50000</v>
      </c>
      <c r="K20" s="28">
        <f t="shared" si="2"/>
        <v>96250000</v>
      </c>
      <c r="L20" s="27">
        <v>11</v>
      </c>
      <c r="M20" s="28">
        <v>50000</v>
      </c>
      <c r="N20" s="28">
        <f t="shared" si="3"/>
        <v>550000</v>
      </c>
      <c r="O20" s="29">
        <f t="shared" si="1"/>
        <v>5.7142857142857143E-3</v>
      </c>
    </row>
    <row r="21" spans="2:15" ht="15.75">
      <c r="B21" s="22"/>
      <c r="C21" s="23"/>
      <c r="D21" s="24" t="s">
        <v>24</v>
      </c>
      <c r="E21" s="25" t="s">
        <v>25</v>
      </c>
      <c r="F21" s="24"/>
      <c r="G21" s="24"/>
      <c r="H21" s="26"/>
      <c r="I21" s="27">
        <v>36</v>
      </c>
      <c r="J21" s="28">
        <v>50000</v>
      </c>
      <c r="K21" s="28">
        <f t="shared" si="2"/>
        <v>1800000</v>
      </c>
      <c r="L21" s="27">
        <v>0</v>
      </c>
      <c r="M21" s="28">
        <v>50000</v>
      </c>
      <c r="N21" s="28">
        <f t="shared" si="3"/>
        <v>0</v>
      </c>
      <c r="O21" s="29">
        <f t="shared" si="1"/>
        <v>0</v>
      </c>
    </row>
    <row r="22" spans="2:15" ht="15.75">
      <c r="B22" s="22"/>
      <c r="C22" s="23"/>
      <c r="D22" s="24" t="s">
        <v>26</v>
      </c>
      <c r="E22" s="25" t="s">
        <v>27</v>
      </c>
      <c r="F22" s="24"/>
      <c r="G22" s="24"/>
      <c r="H22" s="26"/>
      <c r="I22" s="27">
        <v>0</v>
      </c>
      <c r="J22" s="28">
        <v>250000</v>
      </c>
      <c r="K22" s="28">
        <f t="shared" si="2"/>
        <v>0</v>
      </c>
      <c r="L22" s="27">
        <v>0</v>
      </c>
      <c r="M22" s="28">
        <v>250000</v>
      </c>
      <c r="N22" s="28">
        <f t="shared" si="3"/>
        <v>0</v>
      </c>
      <c r="O22" s="29" t="e">
        <f t="shared" si="1"/>
        <v>#DIV/0!</v>
      </c>
    </row>
    <row r="23" spans="2:15" ht="15.75">
      <c r="B23" s="22"/>
      <c r="C23" s="23"/>
      <c r="D23" s="24"/>
      <c r="E23" s="25"/>
      <c r="F23" s="24"/>
      <c r="G23" s="24"/>
      <c r="H23" s="26"/>
      <c r="I23" s="30"/>
      <c r="J23" s="28"/>
      <c r="K23" s="28"/>
      <c r="L23" s="30"/>
      <c r="M23" s="28"/>
      <c r="N23" s="28"/>
      <c r="O23" s="29"/>
    </row>
    <row r="24" spans="2:15" ht="15.75">
      <c r="B24" s="31"/>
      <c r="C24" s="32">
        <v>2</v>
      </c>
      <c r="D24" s="33" t="s">
        <v>28</v>
      </c>
      <c r="E24" s="34"/>
      <c r="F24" s="34"/>
      <c r="G24" s="34"/>
      <c r="H24" s="35"/>
      <c r="I24" s="36">
        <v>1997021</v>
      </c>
      <c r="J24" s="37"/>
      <c r="K24" s="38">
        <f t="shared" ref="K24:L24" si="4">SUM(K25:K33)</f>
        <v>153240870000</v>
      </c>
      <c r="L24" s="36">
        <f t="shared" si="4"/>
        <v>107926</v>
      </c>
      <c r="M24" s="37"/>
      <c r="N24" s="38">
        <f>SUM(N25:N33)</f>
        <v>8282995000</v>
      </c>
      <c r="O24" s="39">
        <f t="shared" ref="O24:O32" si="5">N24/K24</f>
        <v>5.4052127216453416E-2</v>
      </c>
    </row>
    <row r="25" spans="2:15" ht="15.75">
      <c r="B25" s="22"/>
      <c r="C25" s="23"/>
      <c r="D25" s="24" t="s">
        <v>10</v>
      </c>
      <c r="E25" s="25" t="s">
        <v>11</v>
      </c>
      <c r="F25" s="24"/>
      <c r="G25" s="24"/>
      <c r="H25" s="26"/>
      <c r="I25" s="27">
        <v>596792</v>
      </c>
      <c r="J25" s="28">
        <v>80000</v>
      </c>
      <c r="K25" s="28">
        <f t="shared" ref="K25:K33" si="6">I25*J25</f>
        <v>47743360000</v>
      </c>
      <c r="L25" s="27">
        <v>33838</v>
      </c>
      <c r="M25" s="28">
        <v>80000</v>
      </c>
      <c r="N25" s="28">
        <f t="shared" ref="N25:N33" si="7">L25*M25</f>
        <v>2707040000</v>
      </c>
      <c r="O25" s="29">
        <f t="shared" si="5"/>
        <v>5.6699821713427793E-2</v>
      </c>
    </row>
    <row r="26" spans="2:15" ht="15.75">
      <c r="B26" s="22"/>
      <c r="C26" s="23"/>
      <c r="D26" s="24" t="s">
        <v>12</v>
      </c>
      <c r="E26" s="25" t="s">
        <v>13</v>
      </c>
      <c r="F26" s="24"/>
      <c r="G26" s="24"/>
      <c r="H26" s="26"/>
      <c r="I26" s="27">
        <v>63576</v>
      </c>
      <c r="J26" s="28">
        <v>80000</v>
      </c>
      <c r="K26" s="28">
        <f t="shared" si="6"/>
        <v>5086080000</v>
      </c>
      <c r="L26" s="27">
        <v>2433</v>
      </c>
      <c r="M26" s="28">
        <v>80000</v>
      </c>
      <c r="N26" s="28">
        <f t="shared" si="7"/>
        <v>194640000</v>
      </c>
      <c r="O26" s="29">
        <f t="shared" si="5"/>
        <v>3.8269158172895432E-2</v>
      </c>
    </row>
    <row r="27" spans="2:15" ht="15.75">
      <c r="B27" s="22"/>
      <c r="C27" s="23"/>
      <c r="D27" s="24" t="s">
        <v>14</v>
      </c>
      <c r="E27" s="25" t="s">
        <v>15</v>
      </c>
      <c r="F27" s="24"/>
      <c r="G27" s="24"/>
      <c r="H27" s="26"/>
      <c r="I27" s="27">
        <v>35983</v>
      </c>
      <c r="J27" s="28">
        <v>80000</v>
      </c>
      <c r="K27" s="28">
        <f t="shared" si="6"/>
        <v>2878640000</v>
      </c>
      <c r="L27" s="27">
        <v>1546</v>
      </c>
      <c r="M27" s="28">
        <v>80000</v>
      </c>
      <c r="N27" s="28">
        <f t="shared" si="7"/>
        <v>123680000</v>
      </c>
      <c r="O27" s="29">
        <f t="shared" si="5"/>
        <v>4.2964733346302422E-2</v>
      </c>
    </row>
    <row r="28" spans="2:15" ht="15.75">
      <c r="B28" s="22"/>
      <c r="C28" s="23"/>
      <c r="D28" s="24" t="s">
        <v>16</v>
      </c>
      <c r="E28" s="25" t="s">
        <v>17</v>
      </c>
      <c r="F28" s="24"/>
      <c r="G28" s="24"/>
      <c r="H28" s="26"/>
      <c r="I28" s="27">
        <v>1296381</v>
      </c>
      <c r="J28" s="28">
        <v>75000</v>
      </c>
      <c r="K28" s="28">
        <f t="shared" si="6"/>
        <v>97228575000</v>
      </c>
      <c r="L28" s="27">
        <v>70097</v>
      </c>
      <c r="M28" s="28">
        <v>75000</v>
      </c>
      <c r="N28" s="28">
        <f t="shared" si="7"/>
        <v>5257275000</v>
      </c>
      <c r="O28" s="29">
        <f t="shared" si="5"/>
        <v>5.4071295398497816E-2</v>
      </c>
    </row>
    <row r="29" spans="2:15" ht="15.75">
      <c r="B29" s="22"/>
      <c r="C29" s="23"/>
      <c r="D29" s="24" t="s">
        <v>18</v>
      </c>
      <c r="E29" s="25" t="s">
        <v>19</v>
      </c>
      <c r="F29" s="24"/>
      <c r="G29" s="24"/>
      <c r="H29" s="26"/>
      <c r="I29" s="27">
        <v>3815</v>
      </c>
      <c r="J29" s="28">
        <v>75000</v>
      </c>
      <c r="K29" s="28">
        <f t="shared" si="6"/>
        <v>286125000</v>
      </c>
      <c r="L29" s="27">
        <v>0</v>
      </c>
      <c r="M29" s="28">
        <v>75000</v>
      </c>
      <c r="N29" s="28">
        <f t="shared" si="7"/>
        <v>0</v>
      </c>
      <c r="O29" s="29">
        <f t="shared" si="5"/>
        <v>0</v>
      </c>
    </row>
    <row r="30" spans="2:15" ht="15.75">
      <c r="B30" s="22"/>
      <c r="C30" s="23"/>
      <c r="D30" s="24" t="s">
        <v>20</v>
      </c>
      <c r="E30" s="25" t="s">
        <v>21</v>
      </c>
      <c r="F30" s="24"/>
      <c r="G30" s="24"/>
      <c r="H30" s="26"/>
      <c r="I30" s="27">
        <v>86</v>
      </c>
      <c r="J30" s="28">
        <v>75000</v>
      </c>
      <c r="K30" s="28">
        <f t="shared" si="6"/>
        <v>6450000</v>
      </c>
      <c r="L30" s="27">
        <v>0</v>
      </c>
      <c r="M30" s="28">
        <v>75000</v>
      </c>
      <c r="N30" s="28">
        <f t="shared" si="7"/>
        <v>0</v>
      </c>
      <c r="O30" s="29">
        <f t="shared" si="5"/>
        <v>0</v>
      </c>
    </row>
    <row r="31" spans="2:15" ht="15.75">
      <c r="B31" s="22"/>
      <c r="C31" s="23"/>
      <c r="D31" s="24" t="s">
        <v>22</v>
      </c>
      <c r="E31" s="25" t="s">
        <v>23</v>
      </c>
      <c r="F31" s="24"/>
      <c r="G31" s="24"/>
      <c r="H31" s="26"/>
      <c r="I31" s="27">
        <v>360</v>
      </c>
      <c r="J31" s="28">
        <v>30000</v>
      </c>
      <c r="K31" s="28">
        <f t="shared" si="6"/>
        <v>10800000</v>
      </c>
      <c r="L31" s="27">
        <v>11</v>
      </c>
      <c r="M31" s="28">
        <v>30000</v>
      </c>
      <c r="N31" s="28">
        <f t="shared" si="7"/>
        <v>330000</v>
      </c>
      <c r="O31" s="29">
        <f t="shared" si="5"/>
        <v>3.0555555555555555E-2</v>
      </c>
    </row>
    <row r="32" spans="2:15" ht="15.75">
      <c r="B32" s="22"/>
      <c r="C32" s="23"/>
      <c r="D32" s="24" t="s">
        <v>24</v>
      </c>
      <c r="E32" s="25" t="s">
        <v>25</v>
      </c>
      <c r="F32" s="24"/>
      <c r="G32" s="24"/>
      <c r="H32" s="26"/>
      <c r="I32" s="27">
        <v>28</v>
      </c>
      <c r="J32" s="28">
        <v>30000</v>
      </c>
      <c r="K32" s="28">
        <f t="shared" si="6"/>
        <v>840000</v>
      </c>
      <c r="L32" s="27">
        <v>1</v>
      </c>
      <c r="M32" s="28">
        <v>30000</v>
      </c>
      <c r="N32" s="28">
        <f t="shared" si="7"/>
        <v>30000</v>
      </c>
      <c r="O32" s="29">
        <f t="shared" si="5"/>
        <v>3.5714285714285712E-2</v>
      </c>
    </row>
    <row r="33" spans="2:15" ht="15.75">
      <c r="B33" s="22"/>
      <c r="C33" s="23"/>
      <c r="D33" s="24" t="s">
        <v>26</v>
      </c>
      <c r="E33" s="25" t="s">
        <v>29</v>
      </c>
      <c r="F33" s="24"/>
      <c r="G33" s="24"/>
      <c r="H33" s="26"/>
      <c r="I33" s="27">
        <v>0</v>
      </c>
      <c r="J33" s="28">
        <v>225000</v>
      </c>
      <c r="K33" s="28">
        <f t="shared" si="6"/>
        <v>0</v>
      </c>
      <c r="L33" s="27">
        <v>0</v>
      </c>
      <c r="M33" s="28">
        <v>225000</v>
      </c>
      <c r="N33" s="28">
        <f t="shared" si="7"/>
        <v>0</v>
      </c>
      <c r="O33" s="29"/>
    </row>
    <row r="34" spans="2:15" ht="15.75">
      <c r="B34" s="22"/>
      <c r="C34" s="23"/>
      <c r="D34" s="24"/>
      <c r="E34" s="25"/>
      <c r="F34" s="24"/>
      <c r="G34" s="24"/>
      <c r="H34" s="26"/>
      <c r="I34" s="40"/>
      <c r="J34" s="28"/>
      <c r="K34" s="41"/>
      <c r="L34" s="40"/>
      <c r="M34" s="28"/>
      <c r="N34" s="41"/>
      <c r="O34" s="29"/>
    </row>
    <row r="35" spans="2:15" ht="15.75">
      <c r="B35" s="31"/>
      <c r="C35" s="32">
        <v>3</v>
      </c>
      <c r="D35" s="33" t="s">
        <v>30</v>
      </c>
      <c r="E35" s="42"/>
      <c r="F35" s="42"/>
      <c r="G35" s="42"/>
      <c r="H35" s="43"/>
      <c r="I35" s="36">
        <v>100000</v>
      </c>
      <c r="J35" s="38">
        <v>50000</v>
      </c>
      <c r="K35" s="38">
        <f>I35*J35</f>
        <v>5000000000</v>
      </c>
      <c r="L35" s="36">
        <v>5207</v>
      </c>
      <c r="M35" s="38">
        <v>50000</v>
      </c>
      <c r="N35" s="38">
        <f>L35*M35</f>
        <v>260350000</v>
      </c>
      <c r="O35" s="39">
        <f>N35/K35</f>
        <v>5.2069999999999998E-2</v>
      </c>
    </row>
    <row r="36" spans="2:15" ht="15.75">
      <c r="B36" s="22"/>
      <c r="C36" s="44"/>
      <c r="D36" s="45"/>
      <c r="E36" s="24"/>
      <c r="F36" s="24"/>
      <c r="G36" s="24"/>
      <c r="H36" s="26"/>
      <c r="I36" s="46"/>
      <c r="J36" s="28"/>
      <c r="K36" s="41"/>
      <c r="L36" s="46"/>
      <c r="M36" s="28"/>
      <c r="N36" s="41"/>
      <c r="O36" s="29"/>
    </row>
    <row r="37" spans="2:15" ht="15.75">
      <c r="B37" s="31"/>
      <c r="C37" s="32">
        <v>4</v>
      </c>
      <c r="D37" s="33" t="s">
        <v>31</v>
      </c>
      <c r="E37" s="34"/>
      <c r="F37" s="34"/>
      <c r="G37" s="34"/>
      <c r="H37" s="35"/>
      <c r="I37" s="36">
        <v>6000000</v>
      </c>
      <c r="J37" s="37"/>
      <c r="K37" s="38">
        <f>+K38+K41</f>
        <v>727309900000</v>
      </c>
      <c r="L37" s="36">
        <f>L38+L41</f>
        <v>216108</v>
      </c>
      <c r="M37" s="37"/>
      <c r="N37" s="38">
        <f>+N38+N41</f>
        <v>25201200000</v>
      </c>
      <c r="O37" s="39">
        <f t="shared" ref="O37:O43" si="8">N37/K37</f>
        <v>3.4649878958061757E-2</v>
      </c>
    </row>
    <row r="38" spans="2:15" ht="15.75">
      <c r="B38" s="22"/>
      <c r="C38" s="23"/>
      <c r="D38" s="47" t="s">
        <v>10</v>
      </c>
      <c r="E38" s="45" t="s">
        <v>32</v>
      </c>
      <c r="F38" s="24"/>
      <c r="G38" s="24"/>
      <c r="H38" s="26"/>
      <c r="I38" s="48">
        <v>4726901</v>
      </c>
      <c r="J38" s="49"/>
      <c r="K38" s="50">
        <f t="shared" ref="K38:L38" si="9">SUM(K39:K40)</f>
        <v>472690100000</v>
      </c>
      <c r="L38" s="48">
        <f t="shared" si="9"/>
        <v>180204</v>
      </c>
      <c r="M38" s="49"/>
      <c r="N38" s="50">
        <f>SUM(N39:N40)</f>
        <v>18020400000</v>
      </c>
      <c r="O38" s="29">
        <f t="shared" si="8"/>
        <v>3.8123074716394527E-2</v>
      </c>
    </row>
    <row r="39" spans="2:15" ht="15.75">
      <c r="B39" s="22"/>
      <c r="C39" s="23"/>
      <c r="D39" s="24"/>
      <c r="E39" s="24" t="s">
        <v>33</v>
      </c>
      <c r="F39" s="25" t="s">
        <v>34</v>
      </c>
      <c r="G39" s="24"/>
      <c r="H39" s="26"/>
      <c r="I39" s="27">
        <v>2267860</v>
      </c>
      <c r="J39" s="28">
        <v>100000</v>
      </c>
      <c r="K39" s="28">
        <f t="shared" ref="K39:K40" si="10">I39*J39</f>
        <v>226786000000</v>
      </c>
      <c r="L39" s="27">
        <v>53613</v>
      </c>
      <c r="M39" s="28">
        <v>100000</v>
      </c>
      <c r="N39" s="28">
        <f t="shared" ref="N39:N40" si="11">L39*M39</f>
        <v>5361300000</v>
      </c>
      <c r="O39" s="29">
        <f t="shared" si="8"/>
        <v>2.3640348169640103E-2</v>
      </c>
    </row>
    <row r="40" spans="2:15" ht="15.75">
      <c r="B40" s="22"/>
      <c r="C40" s="23"/>
      <c r="D40" s="24"/>
      <c r="E40" s="24" t="s">
        <v>35</v>
      </c>
      <c r="F40" s="25" t="s">
        <v>36</v>
      </c>
      <c r="G40" s="24"/>
      <c r="H40" s="26"/>
      <c r="I40" s="27">
        <v>2459041</v>
      </c>
      <c r="J40" s="28">
        <v>100000</v>
      </c>
      <c r="K40" s="28">
        <f t="shared" si="10"/>
        <v>245904100000</v>
      </c>
      <c r="L40" s="27">
        <v>126591</v>
      </c>
      <c r="M40" s="28">
        <v>100000</v>
      </c>
      <c r="N40" s="28">
        <f t="shared" si="11"/>
        <v>12659100000</v>
      </c>
      <c r="O40" s="29">
        <f t="shared" si="8"/>
        <v>5.1479824858552584E-2</v>
      </c>
    </row>
    <row r="41" spans="2:15" ht="15.75">
      <c r="B41" s="22"/>
      <c r="C41" s="23"/>
      <c r="D41" s="47" t="s">
        <v>12</v>
      </c>
      <c r="E41" s="45" t="s">
        <v>37</v>
      </c>
      <c r="F41" s="24"/>
      <c r="G41" s="24"/>
      <c r="H41" s="26"/>
      <c r="I41" s="48">
        <v>1273099</v>
      </c>
      <c r="J41" s="49"/>
      <c r="K41" s="50">
        <f t="shared" ref="K41:L41" si="12">SUM(K42:K43)</f>
        <v>254619800000</v>
      </c>
      <c r="L41" s="48">
        <f t="shared" si="12"/>
        <v>35904</v>
      </c>
      <c r="M41" s="49"/>
      <c r="N41" s="50">
        <f>SUM(N42:N43)</f>
        <v>7180800000</v>
      </c>
      <c r="O41" s="29">
        <f t="shared" si="8"/>
        <v>2.8202048701632787E-2</v>
      </c>
    </row>
    <row r="42" spans="2:15" ht="15.75">
      <c r="B42" s="22"/>
      <c r="C42" s="23"/>
      <c r="D42" s="24"/>
      <c r="E42" s="24" t="s">
        <v>33</v>
      </c>
      <c r="F42" s="25" t="s">
        <v>34</v>
      </c>
      <c r="G42" s="24"/>
      <c r="H42" s="26"/>
      <c r="I42" s="27">
        <v>626781</v>
      </c>
      <c r="J42" s="28">
        <v>200000</v>
      </c>
      <c r="K42" s="28">
        <f t="shared" ref="K42:K43" si="13">I42*J42</f>
        <v>125356200000</v>
      </c>
      <c r="L42" s="27">
        <v>5943</v>
      </c>
      <c r="M42" s="28">
        <v>200000</v>
      </c>
      <c r="N42" s="28">
        <f t="shared" ref="N42:N43" si="14">L42*M42</f>
        <v>1188600000</v>
      </c>
      <c r="O42" s="29">
        <f t="shared" si="8"/>
        <v>9.4817807176669367E-3</v>
      </c>
    </row>
    <row r="43" spans="2:15" ht="15.75">
      <c r="B43" s="22"/>
      <c r="C43" s="23"/>
      <c r="D43" s="24"/>
      <c r="E43" s="24" t="s">
        <v>35</v>
      </c>
      <c r="F43" s="25" t="s">
        <v>36</v>
      </c>
      <c r="G43" s="24"/>
      <c r="H43" s="26"/>
      <c r="I43" s="27">
        <v>646318</v>
      </c>
      <c r="J43" s="28">
        <v>200000</v>
      </c>
      <c r="K43" s="28">
        <f t="shared" si="13"/>
        <v>129263600000</v>
      </c>
      <c r="L43" s="27">
        <v>29961</v>
      </c>
      <c r="M43" s="28">
        <v>200000</v>
      </c>
      <c r="N43" s="28">
        <f t="shared" si="14"/>
        <v>5992200000</v>
      </c>
      <c r="O43" s="29">
        <f t="shared" si="8"/>
        <v>4.6356437543128924E-2</v>
      </c>
    </row>
    <row r="44" spans="2:15" ht="15.75">
      <c r="B44" s="51"/>
      <c r="C44" s="52"/>
      <c r="D44" s="53"/>
      <c r="E44" s="53"/>
      <c r="F44" s="54"/>
      <c r="G44" s="53"/>
      <c r="H44" s="55"/>
      <c r="I44" s="56"/>
      <c r="J44" s="57"/>
      <c r="K44" s="58"/>
      <c r="L44" s="56"/>
      <c r="M44" s="57"/>
      <c r="N44" s="58"/>
      <c r="O44" s="59"/>
    </row>
    <row r="45" spans="2:15" ht="15.75">
      <c r="B45" s="60"/>
      <c r="C45" s="61">
        <v>5</v>
      </c>
      <c r="D45" s="62" t="s">
        <v>38</v>
      </c>
      <c r="E45" s="63"/>
      <c r="F45" s="63"/>
      <c r="G45" s="63"/>
      <c r="H45" s="64"/>
      <c r="I45" s="65">
        <v>6000000</v>
      </c>
      <c r="J45" s="66"/>
      <c r="K45" s="65">
        <f>SUM(K46,K47)</f>
        <v>411586320000</v>
      </c>
      <c r="L45" s="65">
        <f>SUM(L46:L47)</f>
        <v>212003</v>
      </c>
      <c r="M45" s="66"/>
      <c r="N45" s="65">
        <f>SUM(N46,N47)</f>
        <v>14136420000</v>
      </c>
      <c r="O45" s="67">
        <f>N45/K45</f>
        <v>3.4346185266798952E-2</v>
      </c>
    </row>
    <row r="46" spans="2:15" ht="15.75">
      <c r="B46" s="22"/>
      <c r="C46" s="23"/>
      <c r="D46" s="24" t="s">
        <v>10</v>
      </c>
      <c r="E46" s="25" t="s">
        <v>39</v>
      </c>
      <c r="F46" s="24"/>
      <c r="G46" s="24"/>
      <c r="H46" s="26"/>
      <c r="I46" s="48">
        <v>4710342</v>
      </c>
      <c r="J46" s="28">
        <v>60000</v>
      </c>
      <c r="K46" s="27">
        <f>I46*J46</f>
        <v>282620520000</v>
      </c>
      <c r="L46" s="27">
        <v>176597</v>
      </c>
      <c r="M46" s="28">
        <v>60000</v>
      </c>
      <c r="N46" s="28">
        <f>L46*M46</f>
        <v>10595820000</v>
      </c>
      <c r="O46" s="29">
        <f>N46/K46</f>
        <v>3.7491332901092959E-2</v>
      </c>
    </row>
    <row r="47" spans="2:15" ht="15.75">
      <c r="B47" s="22"/>
      <c r="C47" s="23"/>
      <c r="D47" s="24" t="s">
        <v>12</v>
      </c>
      <c r="E47" s="25" t="s">
        <v>40</v>
      </c>
      <c r="F47" s="24"/>
      <c r="G47" s="24"/>
      <c r="H47" s="26"/>
      <c r="I47" s="27">
        <v>1289658</v>
      </c>
      <c r="J47" s="28">
        <v>100000</v>
      </c>
      <c r="K47" s="28">
        <f>I47*J47</f>
        <v>128965800000</v>
      </c>
      <c r="L47" s="27">
        <v>35406</v>
      </c>
      <c r="M47" s="28">
        <v>100000</v>
      </c>
      <c r="N47" s="28">
        <f>L47*M47</f>
        <v>3540600000</v>
      </c>
      <c r="O47" s="29">
        <f>N47/K47</f>
        <v>2.7453790074577912E-2</v>
      </c>
    </row>
    <row r="48" spans="2:15" ht="15.75">
      <c r="B48" s="22"/>
      <c r="C48" s="23"/>
      <c r="D48" s="24"/>
      <c r="E48" s="25"/>
      <c r="F48" s="24"/>
      <c r="G48" s="24"/>
      <c r="H48" s="26"/>
      <c r="I48" s="27"/>
      <c r="J48" s="28"/>
      <c r="K48" s="28"/>
      <c r="L48" s="27"/>
      <c r="M48" s="28"/>
      <c r="N48" s="28"/>
      <c r="O48" s="29"/>
    </row>
    <row r="49" spans="2:15" ht="15.75">
      <c r="B49" s="31"/>
      <c r="C49" s="32">
        <v>6</v>
      </c>
      <c r="D49" s="33" t="s">
        <v>41</v>
      </c>
      <c r="E49" s="34"/>
      <c r="F49" s="34"/>
      <c r="G49" s="34"/>
      <c r="H49" s="35"/>
      <c r="I49" s="36">
        <v>1500000</v>
      </c>
      <c r="J49" s="37"/>
      <c r="K49" s="38">
        <f t="shared" ref="K49:L49" si="15">SUM(K50:K51)</f>
        <v>43861750000</v>
      </c>
      <c r="L49" s="36">
        <f t="shared" si="15"/>
        <v>59633</v>
      </c>
      <c r="M49" s="37"/>
      <c r="N49" s="38">
        <f>SUM(N50:N51)</f>
        <v>1646300000</v>
      </c>
      <c r="O49" s="39">
        <f t="shared" ref="O49:O51" si="16">N49/K49</f>
        <v>3.7533842128962019E-2</v>
      </c>
    </row>
    <row r="50" spans="2:15" ht="15.75">
      <c r="B50" s="22"/>
      <c r="C50" s="23"/>
      <c r="D50" s="24" t="s">
        <v>10</v>
      </c>
      <c r="E50" s="25" t="s">
        <v>39</v>
      </c>
      <c r="F50" s="24"/>
      <c r="G50" s="24"/>
      <c r="H50" s="26"/>
      <c r="I50" s="27">
        <v>1245530</v>
      </c>
      <c r="J50" s="28">
        <v>25000</v>
      </c>
      <c r="K50" s="28">
        <f t="shared" ref="K50:K51" si="17">I50*J50</f>
        <v>31138250000</v>
      </c>
      <c r="L50" s="27">
        <v>53414</v>
      </c>
      <c r="M50" s="28">
        <v>25000</v>
      </c>
      <c r="N50" s="28">
        <f t="shared" ref="N50:N51" si="18">L50*M50</f>
        <v>1335350000</v>
      </c>
      <c r="O50" s="29">
        <f t="shared" si="16"/>
        <v>4.2884555169285361E-2</v>
      </c>
    </row>
    <row r="51" spans="2:15" ht="15.75">
      <c r="B51" s="22"/>
      <c r="C51" s="23"/>
      <c r="D51" s="24" t="s">
        <v>12</v>
      </c>
      <c r="E51" s="25" t="s">
        <v>40</v>
      </c>
      <c r="F51" s="24"/>
      <c r="G51" s="24"/>
      <c r="H51" s="26"/>
      <c r="I51" s="27">
        <v>254470</v>
      </c>
      <c r="J51" s="28">
        <v>50000</v>
      </c>
      <c r="K51" s="28">
        <f t="shared" si="17"/>
        <v>12723500000</v>
      </c>
      <c r="L51" s="27">
        <v>6219</v>
      </c>
      <c r="M51" s="28">
        <v>50000</v>
      </c>
      <c r="N51" s="28">
        <f t="shared" si="18"/>
        <v>310950000</v>
      </c>
      <c r="O51" s="29">
        <f t="shared" si="16"/>
        <v>2.4439030141077532E-2</v>
      </c>
    </row>
    <row r="52" spans="2:15" ht="15.75">
      <c r="B52" s="22"/>
      <c r="C52" s="23"/>
      <c r="D52" s="24"/>
      <c r="E52" s="25"/>
      <c r="F52" s="24"/>
      <c r="G52" s="24"/>
      <c r="H52" s="26"/>
      <c r="I52" s="27"/>
      <c r="J52" s="49"/>
      <c r="K52" s="41"/>
      <c r="L52" s="27"/>
      <c r="M52" s="49"/>
      <c r="N52" s="41"/>
      <c r="O52" s="29"/>
    </row>
    <row r="53" spans="2:15" ht="15.75">
      <c r="B53" s="31"/>
      <c r="C53" s="32">
        <v>7</v>
      </c>
      <c r="D53" s="33" t="s">
        <v>42</v>
      </c>
      <c r="E53" s="34"/>
      <c r="F53" s="34"/>
      <c r="G53" s="34"/>
      <c r="H53" s="35"/>
      <c r="I53" s="36">
        <v>75000</v>
      </c>
      <c r="J53" s="37"/>
      <c r="K53" s="38">
        <f t="shared" ref="K53:L53" si="19">SUM(K54:K55)</f>
        <v>5024800000</v>
      </c>
      <c r="L53" s="36">
        <f t="shared" si="19"/>
        <v>4734</v>
      </c>
      <c r="M53" s="37"/>
      <c r="N53" s="38">
        <f>SUM(N54:N55)</f>
        <v>329200000</v>
      </c>
      <c r="O53" s="39">
        <f t="shared" ref="O53:O55" si="20">N53/K53</f>
        <v>6.5515045374940295E-2</v>
      </c>
    </row>
    <row r="54" spans="2:15" ht="15.75">
      <c r="B54" s="22"/>
      <c r="C54" s="23"/>
      <c r="D54" s="24" t="s">
        <v>10</v>
      </c>
      <c r="E54" s="25" t="s">
        <v>39</v>
      </c>
      <c r="F54" s="24"/>
      <c r="G54" s="24"/>
      <c r="H54" s="26"/>
      <c r="I54" s="27">
        <v>61880</v>
      </c>
      <c r="J54" s="28">
        <v>60000</v>
      </c>
      <c r="K54" s="28">
        <f t="shared" ref="K54:K55" si="21">I54*J54</f>
        <v>3712800000</v>
      </c>
      <c r="L54" s="27">
        <v>3605</v>
      </c>
      <c r="M54" s="28">
        <v>60000</v>
      </c>
      <c r="N54" s="28">
        <f t="shared" ref="N54:N55" si="22">L54*M54</f>
        <v>216300000</v>
      </c>
      <c r="O54" s="29">
        <f t="shared" si="20"/>
        <v>5.82579185520362E-2</v>
      </c>
    </row>
    <row r="55" spans="2:15" ht="15.75">
      <c r="B55" s="22"/>
      <c r="C55" s="23"/>
      <c r="D55" s="24" t="s">
        <v>12</v>
      </c>
      <c r="E55" s="25" t="s">
        <v>40</v>
      </c>
      <c r="F55" s="24"/>
      <c r="G55" s="24"/>
      <c r="H55" s="26"/>
      <c r="I55" s="27">
        <v>13120</v>
      </c>
      <c r="J55" s="28">
        <v>100000</v>
      </c>
      <c r="K55" s="28">
        <f t="shared" si="21"/>
        <v>1312000000</v>
      </c>
      <c r="L55" s="27">
        <v>1129</v>
      </c>
      <c r="M55" s="28">
        <v>100000</v>
      </c>
      <c r="N55" s="28">
        <f t="shared" si="22"/>
        <v>112900000</v>
      </c>
      <c r="O55" s="29">
        <f t="shared" si="20"/>
        <v>8.6051829268292676E-2</v>
      </c>
    </row>
    <row r="56" spans="2:15" ht="15.75">
      <c r="B56" s="22"/>
      <c r="C56" s="23"/>
      <c r="D56" s="24"/>
      <c r="E56" s="25"/>
      <c r="F56" s="24"/>
      <c r="G56" s="24"/>
      <c r="H56" s="26"/>
      <c r="I56" s="27"/>
      <c r="J56" s="49"/>
      <c r="K56" s="41"/>
      <c r="L56" s="27"/>
      <c r="M56" s="49"/>
      <c r="N56" s="41"/>
      <c r="O56" s="29"/>
    </row>
    <row r="57" spans="2:15" ht="15.75">
      <c r="B57" s="31"/>
      <c r="C57" s="32">
        <v>8</v>
      </c>
      <c r="D57" s="33" t="s">
        <v>43</v>
      </c>
      <c r="E57" s="34"/>
      <c r="F57" s="34"/>
      <c r="G57" s="34"/>
      <c r="H57" s="35"/>
      <c r="I57" s="36">
        <v>2400000</v>
      </c>
      <c r="J57" s="37"/>
      <c r="K57" s="38">
        <f t="shared" ref="K57:L57" si="23">+K58+K61</f>
        <v>607771500000</v>
      </c>
      <c r="L57" s="36">
        <f t="shared" si="23"/>
        <v>87937</v>
      </c>
      <c r="M57" s="37"/>
      <c r="N57" s="38">
        <f>+N58+N61</f>
        <v>21977025000</v>
      </c>
      <c r="O57" s="39">
        <f t="shared" ref="O57:O63" si="24">N57/K57</f>
        <v>3.6160012438885336E-2</v>
      </c>
    </row>
    <row r="58" spans="2:15" ht="15.75">
      <c r="B58" s="22"/>
      <c r="C58" s="23"/>
      <c r="D58" s="47" t="s">
        <v>10</v>
      </c>
      <c r="E58" s="45" t="s">
        <v>32</v>
      </c>
      <c r="F58" s="24"/>
      <c r="G58" s="24"/>
      <c r="H58" s="26"/>
      <c r="I58" s="48">
        <v>1948190</v>
      </c>
      <c r="J58" s="49"/>
      <c r="K58" s="50">
        <f t="shared" ref="K58:L58" si="25">K59+K60</f>
        <v>438342750000</v>
      </c>
      <c r="L58" s="48">
        <f t="shared" si="25"/>
        <v>73329</v>
      </c>
      <c r="M58" s="49"/>
      <c r="N58" s="50">
        <f>N59+N60</f>
        <v>16499025000</v>
      </c>
      <c r="O58" s="29">
        <f t="shared" si="24"/>
        <v>3.7639552610371677E-2</v>
      </c>
    </row>
    <row r="59" spans="2:15" ht="15.75">
      <c r="B59" s="22"/>
      <c r="C59" s="23"/>
      <c r="D59" s="24"/>
      <c r="E59" s="24" t="s">
        <v>33</v>
      </c>
      <c r="F59" s="25" t="s">
        <v>34</v>
      </c>
      <c r="G59" s="24"/>
      <c r="H59" s="26"/>
      <c r="I59" s="27">
        <v>1619192</v>
      </c>
      <c r="J59" s="28">
        <v>225000</v>
      </c>
      <c r="K59" s="28">
        <f t="shared" ref="K59:K60" si="26">I59*J59</f>
        <v>364318200000</v>
      </c>
      <c r="L59" s="27">
        <v>53625</v>
      </c>
      <c r="M59" s="28">
        <v>225000</v>
      </c>
      <c r="N59" s="28">
        <f t="shared" ref="N59:N60" si="27">L59*M59</f>
        <v>12065625000</v>
      </c>
      <c r="O59" s="29">
        <f t="shared" si="24"/>
        <v>3.3118370150050147E-2</v>
      </c>
    </row>
    <row r="60" spans="2:15" ht="15.75">
      <c r="B60" s="22"/>
      <c r="C60" s="23"/>
      <c r="D60" s="24"/>
      <c r="E60" s="24" t="s">
        <v>35</v>
      </c>
      <c r="F60" s="25" t="s">
        <v>44</v>
      </c>
      <c r="G60" s="24"/>
      <c r="H60" s="26"/>
      <c r="I60" s="27">
        <v>328998</v>
      </c>
      <c r="J60" s="28">
        <v>225000</v>
      </c>
      <c r="K60" s="28">
        <f t="shared" si="26"/>
        <v>74024550000</v>
      </c>
      <c r="L60" s="27">
        <v>19704</v>
      </c>
      <c r="M60" s="28">
        <v>225000</v>
      </c>
      <c r="N60" s="28">
        <f t="shared" si="27"/>
        <v>4433400000</v>
      </c>
      <c r="O60" s="29">
        <f t="shared" si="24"/>
        <v>5.9890941586271042E-2</v>
      </c>
    </row>
    <row r="61" spans="2:15" ht="15.75">
      <c r="B61" s="22"/>
      <c r="C61" s="23"/>
      <c r="D61" s="47" t="s">
        <v>12</v>
      </c>
      <c r="E61" s="45" t="s">
        <v>40</v>
      </c>
      <c r="F61" s="24"/>
      <c r="G61" s="24"/>
      <c r="H61" s="26"/>
      <c r="I61" s="48">
        <v>451810</v>
      </c>
      <c r="J61" s="49"/>
      <c r="K61" s="48">
        <f t="shared" ref="K61:L61" si="28">K62+K63</f>
        <v>169428750000</v>
      </c>
      <c r="L61" s="48">
        <f t="shared" si="28"/>
        <v>14608</v>
      </c>
      <c r="M61" s="49"/>
      <c r="N61" s="48">
        <f>N62+N63</f>
        <v>5478000000</v>
      </c>
      <c r="O61" s="29">
        <f t="shared" si="24"/>
        <v>3.2332175029326483E-2</v>
      </c>
    </row>
    <row r="62" spans="2:15" ht="15.75">
      <c r="B62" s="22"/>
      <c r="C62" s="23"/>
      <c r="D62" s="24"/>
      <c r="E62" s="24" t="s">
        <v>33</v>
      </c>
      <c r="F62" s="25" t="s">
        <v>34</v>
      </c>
      <c r="G62" s="24"/>
      <c r="H62" s="26"/>
      <c r="I62" s="27">
        <v>319858</v>
      </c>
      <c r="J62" s="28">
        <v>375000</v>
      </c>
      <c r="K62" s="28">
        <f t="shared" ref="K62:K63" si="29">I62*J62</f>
        <v>119946750000</v>
      </c>
      <c r="L62" s="27">
        <v>5907</v>
      </c>
      <c r="M62" s="28">
        <v>375000</v>
      </c>
      <c r="N62" s="28">
        <f t="shared" ref="N62:N63" si="30">L62*M62</f>
        <v>2215125000</v>
      </c>
      <c r="O62" s="29">
        <f t="shared" si="24"/>
        <v>1.846756998418048E-2</v>
      </c>
    </row>
    <row r="63" spans="2:15" ht="15.75">
      <c r="B63" s="22"/>
      <c r="C63" s="23"/>
      <c r="D63" s="24"/>
      <c r="E63" s="24" t="s">
        <v>35</v>
      </c>
      <c r="F63" s="25" t="s">
        <v>44</v>
      </c>
      <c r="G63" s="24"/>
      <c r="H63" s="26"/>
      <c r="I63" s="27">
        <v>131952</v>
      </c>
      <c r="J63" s="28">
        <v>375000</v>
      </c>
      <c r="K63" s="28">
        <f t="shared" si="29"/>
        <v>49482000000</v>
      </c>
      <c r="L63" s="27">
        <v>8701</v>
      </c>
      <c r="M63" s="28">
        <v>375000</v>
      </c>
      <c r="N63" s="28">
        <f t="shared" si="30"/>
        <v>3262875000</v>
      </c>
      <c r="O63" s="29">
        <f t="shared" si="24"/>
        <v>6.5940645083060509E-2</v>
      </c>
    </row>
    <row r="64" spans="2:15" ht="15.75">
      <c r="B64" s="22"/>
      <c r="C64" s="23"/>
      <c r="D64" s="24"/>
      <c r="E64" s="24"/>
      <c r="F64" s="25"/>
      <c r="G64" s="24"/>
      <c r="H64" s="26"/>
      <c r="I64" s="27"/>
      <c r="J64" s="49"/>
      <c r="K64" s="41"/>
      <c r="L64" s="27"/>
      <c r="M64" s="49"/>
      <c r="N64" s="41"/>
      <c r="O64" s="29"/>
    </row>
    <row r="65" spans="2:15" ht="15.75">
      <c r="B65" s="31"/>
      <c r="C65" s="32">
        <v>9</v>
      </c>
      <c r="D65" s="33" t="s">
        <v>45</v>
      </c>
      <c r="E65" s="34"/>
      <c r="F65" s="34"/>
      <c r="G65" s="34"/>
      <c r="H65" s="35"/>
      <c r="I65" s="36">
        <v>250000</v>
      </c>
      <c r="J65" s="37"/>
      <c r="K65" s="38">
        <f t="shared" ref="K65:L65" si="31">SUM(K66:K67)</f>
        <v>50337200000</v>
      </c>
      <c r="L65" s="36">
        <f t="shared" si="31"/>
        <v>8823</v>
      </c>
      <c r="M65" s="37"/>
      <c r="N65" s="38">
        <f>SUM(N66:N67)</f>
        <v>1732250000</v>
      </c>
      <c r="O65" s="39">
        <f t="shared" ref="O65:O67" si="32">N65/K65</f>
        <v>3.4412919272426755E-2</v>
      </c>
    </row>
    <row r="66" spans="2:15" ht="15.75">
      <c r="B66" s="22"/>
      <c r="C66" s="23"/>
      <c r="D66" s="24" t="s">
        <v>10</v>
      </c>
      <c r="E66" s="25" t="s">
        <v>46</v>
      </c>
      <c r="F66" s="24"/>
      <c r="G66" s="24"/>
      <c r="H66" s="26"/>
      <c r="I66" s="27">
        <v>121628</v>
      </c>
      <c r="J66" s="28">
        <v>150000</v>
      </c>
      <c r="K66" s="28">
        <f t="shared" ref="K66:K67" si="33">I66*J66</f>
        <v>18244200000</v>
      </c>
      <c r="L66" s="27">
        <v>4735</v>
      </c>
      <c r="M66" s="28">
        <v>150000</v>
      </c>
      <c r="N66" s="28">
        <f t="shared" ref="N66:N67" si="34">L66*M66</f>
        <v>710250000</v>
      </c>
      <c r="O66" s="29">
        <f t="shared" si="32"/>
        <v>3.8930180550531129E-2</v>
      </c>
    </row>
    <row r="67" spans="2:15" ht="15.75">
      <c r="B67" s="22"/>
      <c r="C67" s="23"/>
      <c r="D67" s="24" t="s">
        <v>12</v>
      </c>
      <c r="E67" s="25" t="s">
        <v>40</v>
      </c>
      <c r="F67" s="24"/>
      <c r="G67" s="24"/>
      <c r="H67" s="26"/>
      <c r="I67" s="27">
        <v>128372</v>
      </c>
      <c r="J67" s="28">
        <v>250000</v>
      </c>
      <c r="K67" s="28">
        <f t="shared" si="33"/>
        <v>32093000000</v>
      </c>
      <c r="L67" s="27">
        <v>4088</v>
      </c>
      <c r="M67" s="28">
        <v>250000</v>
      </c>
      <c r="N67" s="28">
        <f t="shared" si="34"/>
        <v>1022000000</v>
      </c>
      <c r="O67" s="29">
        <f t="shared" si="32"/>
        <v>3.1844950612283054E-2</v>
      </c>
    </row>
    <row r="68" spans="2:15" ht="15.75">
      <c r="B68" s="22"/>
      <c r="C68" s="23"/>
      <c r="D68" s="24"/>
      <c r="E68" s="25"/>
      <c r="F68" s="24"/>
      <c r="G68" s="24"/>
      <c r="H68" s="26"/>
      <c r="I68" s="46"/>
      <c r="J68" s="49"/>
      <c r="K68" s="41"/>
      <c r="L68" s="46"/>
      <c r="M68" s="49"/>
      <c r="N68" s="41"/>
      <c r="O68" s="29"/>
    </row>
    <row r="69" spans="2:15" ht="15.75">
      <c r="B69" s="31"/>
      <c r="C69" s="32">
        <v>10</v>
      </c>
      <c r="D69" s="33" t="s">
        <v>47</v>
      </c>
      <c r="E69" s="34"/>
      <c r="F69" s="34"/>
      <c r="G69" s="34"/>
      <c r="H69" s="35"/>
      <c r="I69" s="36">
        <v>0</v>
      </c>
      <c r="J69" s="37"/>
      <c r="K69" s="38">
        <f t="shared" ref="K69:L69" si="35">+K70+K73</f>
        <v>0</v>
      </c>
      <c r="L69" s="36">
        <f t="shared" si="35"/>
        <v>0</v>
      </c>
      <c r="M69" s="37"/>
      <c r="N69" s="38">
        <f>+N70+N73</f>
        <v>0</v>
      </c>
      <c r="O69" s="39" t="e">
        <f t="shared" ref="O69:O75" si="36">N69/K69</f>
        <v>#DIV/0!</v>
      </c>
    </row>
    <row r="70" spans="2:15" ht="15.75">
      <c r="B70" s="22"/>
      <c r="C70" s="23"/>
      <c r="D70" s="47" t="s">
        <v>10</v>
      </c>
      <c r="E70" s="45" t="s">
        <v>46</v>
      </c>
      <c r="F70" s="24"/>
      <c r="G70" s="24"/>
      <c r="H70" s="26"/>
      <c r="I70" s="48">
        <v>0</v>
      </c>
      <c r="J70" s="49"/>
      <c r="K70" s="50">
        <f t="shared" ref="K70:L70" si="37">SUM(K71:K72)</f>
        <v>0</v>
      </c>
      <c r="L70" s="48">
        <f t="shared" si="37"/>
        <v>0</v>
      </c>
      <c r="M70" s="49"/>
      <c r="N70" s="50">
        <f>SUM(N71:N72)</f>
        <v>0</v>
      </c>
      <c r="O70" s="29" t="e">
        <f t="shared" si="36"/>
        <v>#DIV/0!</v>
      </c>
    </row>
    <row r="71" spans="2:15" ht="15.75">
      <c r="B71" s="22"/>
      <c r="C71" s="23"/>
      <c r="D71" s="24"/>
      <c r="E71" s="24" t="s">
        <v>33</v>
      </c>
      <c r="F71" s="25" t="s">
        <v>34</v>
      </c>
      <c r="G71" s="24"/>
      <c r="H71" s="26"/>
      <c r="I71" s="27">
        <v>0</v>
      </c>
      <c r="J71" s="28">
        <v>100000</v>
      </c>
      <c r="K71" s="28">
        <f t="shared" ref="K71:K72" si="38">I71*J71</f>
        <v>0</v>
      </c>
      <c r="L71" s="27">
        <f>'[1]L. MAT 09 STNKLBN'!G16</f>
        <v>0</v>
      </c>
      <c r="M71" s="28">
        <v>100000</v>
      </c>
      <c r="N71" s="28">
        <f t="shared" ref="N71:N72" si="39">L71*M71</f>
        <v>0</v>
      </c>
      <c r="O71" s="29" t="e">
        <f t="shared" si="36"/>
        <v>#DIV/0!</v>
      </c>
    </row>
    <row r="72" spans="2:15" ht="15.75">
      <c r="B72" s="22"/>
      <c r="C72" s="23"/>
      <c r="D72" s="24"/>
      <c r="E72" s="24" t="s">
        <v>35</v>
      </c>
      <c r="F72" s="25" t="s">
        <v>36</v>
      </c>
      <c r="G72" s="24"/>
      <c r="H72" s="26"/>
      <c r="I72" s="27">
        <v>0</v>
      </c>
      <c r="J72" s="28">
        <v>100000</v>
      </c>
      <c r="K72" s="28">
        <f t="shared" si="38"/>
        <v>0</v>
      </c>
      <c r="L72" s="27">
        <f>'[1]L. MAT 09 STNKLBN'!I16</f>
        <v>0</v>
      </c>
      <c r="M72" s="28">
        <v>100000</v>
      </c>
      <c r="N72" s="28">
        <f t="shared" si="39"/>
        <v>0</v>
      </c>
      <c r="O72" s="29" t="e">
        <f t="shared" si="36"/>
        <v>#DIV/0!</v>
      </c>
    </row>
    <row r="73" spans="2:15" ht="15.75">
      <c r="B73" s="22"/>
      <c r="C73" s="23"/>
      <c r="D73" s="47" t="s">
        <v>12</v>
      </c>
      <c r="E73" s="45" t="s">
        <v>40</v>
      </c>
      <c r="F73" s="24"/>
      <c r="G73" s="24"/>
      <c r="H73" s="26"/>
      <c r="I73" s="48">
        <v>0</v>
      </c>
      <c r="J73" s="49"/>
      <c r="K73" s="50">
        <f t="shared" ref="K73:L73" si="40">SUM(K74:K75)</f>
        <v>0</v>
      </c>
      <c r="L73" s="48">
        <f t="shared" si="40"/>
        <v>0</v>
      </c>
      <c r="M73" s="49"/>
      <c r="N73" s="50">
        <f>SUM(N74:N75)</f>
        <v>0</v>
      </c>
      <c r="O73" s="29" t="e">
        <f t="shared" si="36"/>
        <v>#DIV/0!</v>
      </c>
    </row>
    <row r="74" spans="2:15" ht="15.75">
      <c r="B74" s="22"/>
      <c r="C74" s="23"/>
      <c r="D74" s="24"/>
      <c r="E74" s="24" t="s">
        <v>33</v>
      </c>
      <c r="F74" s="25" t="s">
        <v>34</v>
      </c>
      <c r="G74" s="24"/>
      <c r="H74" s="26"/>
      <c r="I74" s="27">
        <v>0</v>
      </c>
      <c r="J74" s="28">
        <v>200000</v>
      </c>
      <c r="K74" s="28">
        <f t="shared" ref="K74:K75" si="41">I74*J74</f>
        <v>0</v>
      </c>
      <c r="L74" s="27">
        <f>'[1]L. MAT 09 STNKLBN'!H16</f>
        <v>0</v>
      </c>
      <c r="M74" s="28">
        <v>200000</v>
      </c>
      <c r="N74" s="28">
        <f t="shared" ref="N74:N75" si="42">L74*M74</f>
        <v>0</v>
      </c>
      <c r="O74" s="29" t="e">
        <f t="shared" si="36"/>
        <v>#DIV/0!</v>
      </c>
    </row>
    <row r="75" spans="2:15" ht="15.75">
      <c r="B75" s="22"/>
      <c r="C75" s="23"/>
      <c r="D75" s="24"/>
      <c r="E75" s="24" t="s">
        <v>35</v>
      </c>
      <c r="F75" s="25" t="s">
        <v>36</v>
      </c>
      <c r="G75" s="24"/>
      <c r="H75" s="26"/>
      <c r="I75" s="27">
        <v>0</v>
      </c>
      <c r="J75" s="28">
        <v>200000</v>
      </c>
      <c r="K75" s="28">
        <f t="shared" si="41"/>
        <v>0</v>
      </c>
      <c r="L75" s="27">
        <f>'[1]L. MAT 09 STNKLBN'!J16</f>
        <v>0</v>
      </c>
      <c r="M75" s="28">
        <v>200000</v>
      </c>
      <c r="N75" s="28">
        <f t="shared" si="42"/>
        <v>0</v>
      </c>
      <c r="O75" s="29" t="e">
        <f t="shared" si="36"/>
        <v>#DIV/0!</v>
      </c>
    </row>
    <row r="76" spans="2:15" ht="15.75">
      <c r="B76" s="51"/>
      <c r="C76" s="52"/>
      <c r="D76" s="53"/>
      <c r="E76" s="53"/>
      <c r="F76" s="54"/>
      <c r="G76" s="53"/>
      <c r="H76" s="55"/>
      <c r="I76" s="56"/>
      <c r="J76" s="68"/>
      <c r="K76" s="68"/>
      <c r="L76" s="56"/>
      <c r="M76" s="68"/>
      <c r="N76" s="68"/>
      <c r="O76" s="59"/>
    </row>
    <row r="77" spans="2:15" ht="15.75">
      <c r="B77" s="31"/>
      <c r="C77" s="32">
        <v>11</v>
      </c>
      <c r="D77" s="33" t="s">
        <v>48</v>
      </c>
      <c r="E77" s="42"/>
      <c r="F77" s="34"/>
      <c r="G77" s="34"/>
      <c r="H77" s="35"/>
      <c r="I77" s="36">
        <v>0</v>
      </c>
      <c r="J77" s="37"/>
      <c r="K77" s="38">
        <f t="shared" ref="K77:L77" si="43">K78+K81</f>
        <v>0</v>
      </c>
      <c r="L77" s="36">
        <f t="shared" si="43"/>
        <v>0</v>
      </c>
      <c r="M77" s="37"/>
      <c r="N77" s="38">
        <f>N78+N81</f>
        <v>0</v>
      </c>
      <c r="O77" s="39" t="e">
        <f t="shared" ref="O77:O83" si="44">N77/K77</f>
        <v>#DIV/0!</v>
      </c>
    </row>
    <row r="78" spans="2:15" ht="15.75">
      <c r="B78" s="22"/>
      <c r="C78" s="23"/>
      <c r="D78" s="47" t="s">
        <v>10</v>
      </c>
      <c r="E78" s="45" t="s">
        <v>46</v>
      </c>
      <c r="F78" s="24"/>
      <c r="G78" s="24"/>
      <c r="H78" s="26"/>
      <c r="I78" s="48">
        <v>0</v>
      </c>
      <c r="J78" s="49"/>
      <c r="K78" s="50">
        <f t="shared" ref="K78:L78" si="45">SUM(K79:K80)</f>
        <v>0</v>
      </c>
      <c r="L78" s="48">
        <f t="shared" si="45"/>
        <v>0</v>
      </c>
      <c r="M78" s="49"/>
      <c r="N78" s="50">
        <f>SUM(N79:N80)</f>
        <v>0</v>
      </c>
      <c r="O78" s="29" t="e">
        <f t="shared" si="44"/>
        <v>#DIV/0!</v>
      </c>
    </row>
    <row r="79" spans="2:15" ht="15.75">
      <c r="B79" s="22"/>
      <c r="C79" s="23"/>
      <c r="D79" s="24"/>
      <c r="E79" s="24" t="s">
        <v>33</v>
      </c>
      <c r="F79" s="25" t="s">
        <v>34</v>
      </c>
      <c r="G79" s="24"/>
      <c r="H79" s="26"/>
      <c r="I79" s="27">
        <v>0</v>
      </c>
      <c r="J79" s="28">
        <v>100000</v>
      </c>
      <c r="K79" s="28">
        <f t="shared" ref="K79:K80" si="46">I79*J79</f>
        <v>0</v>
      </c>
      <c r="L79" s="27">
        <f>'[1]L. MAT 10 TNKB LBN'!G16</f>
        <v>0</v>
      </c>
      <c r="M79" s="28">
        <v>100000</v>
      </c>
      <c r="N79" s="28">
        <f t="shared" ref="N79:N80" si="47">L79*M79</f>
        <v>0</v>
      </c>
      <c r="O79" s="29" t="e">
        <f t="shared" si="44"/>
        <v>#DIV/0!</v>
      </c>
    </row>
    <row r="80" spans="2:15" ht="15.75">
      <c r="B80" s="22"/>
      <c r="C80" s="23"/>
      <c r="D80" s="24"/>
      <c r="E80" s="24" t="s">
        <v>35</v>
      </c>
      <c r="F80" s="25" t="s">
        <v>36</v>
      </c>
      <c r="G80" s="24"/>
      <c r="H80" s="26"/>
      <c r="I80" s="27"/>
      <c r="J80" s="28">
        <v>100000</v>
      </c>
      <c r="K80" s="28">
        <f t="shared" si="46"/>
        <v>0</v>
      </c>
      <c r="L80" s="27">
        <f>'[1]L. MAT 10 TNKB LBN'!I16</f>
        <v>0</v>
      </c>
      <c r="M80" s="28">
        <v>100000</v>
      </c>
      <c r="N80" s="28">
        <f t="shared" si="47"/>
        <v>0</v>
      </c>
      <c r="O80" s="29" t="e">
        <f t="shared" si="44"/>
        <v>#DIV/0!</v>
      </c>
    </row>
    <row r="81" spans="2:15" ht="15.75">
      <c r="B81" s="22"/>
      <c r="C81" s="23"/>
      <c r="D81" s="47" t="s">
        <v>12</v>
      </c>
      <c r="E81" s="45" t="s">
        <v>40</v>
      </c>
      <c r="F81" s="24"/>
      <c r="G81" s="24"/>
      <c r="H81" s="26"/>
      <c r="I81" s="48">
        <v>0</v>
      </c>
      <c r="J81" s="49"/>
      <c r="K81" s="50">
        <f t="shared" ref="K81:L81" si="48">SUM(K82:K83)</f>
        <v>0</v>
      </c>
      <c r="L81" s="48">
        <f t="shared" si="48"/>
        <v>0</v>
      </c>
      <c r="M81" s="49"/>
      <c r="N81" s="50">
        <f>SUM(N82:N83)</f>
        <v>0</v>
      </c>
      <c r="O81" s="29" t="e">
        <f t="shared" si="44"/>
        <v>#DIV/0!</v>
      </c>
    </row>
    <row r="82" spans="2:15" ht="15.75">
      <c r="B82" s="22"/>
      <c r="C82" s="23"/>
      <c r="D82" s="24"/>
      <c r="E82" s="24" t="s">
        <v>33</v>
      </c>
      <c r="F82" s="25" t="s">
        <v>34</v>
      </c>
      <c r="G82" s="24"/>
      <c r="H82" s="26"/>
      <c r="I82" s="27">
        <v>0</v>
      </c>
      <c r="J82" s="28">
        <v>200000</v>
      </c>
      <c r="K82" s="28">
        <f t="shared" ref="K82:K83" si="49">I82*J82</f>
        <v>0</v>
      </c>
      <c r="L82" s="27">
        <f>'[1]L. MAT 10 TNKB LBN'!H16</f>
        <v>0</v>
      </c>
      <c r="M82" s="28">
        <v>200000</v>
      </c>
      <c r="N82" s="28">
        <f t="shared" ref="N82:N83" si="50">L82*M82</f>
        <v>0</v>
      </c>
      <c r="O82" s="29" t="e">
        <f t="shared" si="44"/>
        <v>#DIV/0!</v>
      </c>
    </row>
    <row r="83" spans="2:15" ht="15.75">
      <c r="B83" s="22"/>
      <c r="C83" s="23"/>
      <c r="D83" s="24"/>
      <c r="E83" s="24" t="s">
        <v>35</v>
      </c>
      <c r="F83" s="25" t="s">
        <v>36</v>
      </c>
      <c r="G83" s="24"/>
      <c r="H83" s="26"/>
      <c r="I83" s="27">
        <v>0</v>
      </c>
      <c r="J83" s="28">
        <v>200000</v>
      </c>
      <c r="K83" s="28">
        <f t="shared" si="49"/>
        <v>0</v>
      </c>
      <c r="L83" s="27">
        <f>'[1]L. MAT 10 TNKB LBN'!J16</f>
        <v>0</v>
      </c>
      <c r="M83" s="28">
        <v>200000</v>
      </c>
      <c r="N83" s="28">
        <f t="shared" si="50"/>
        <v>0</v>
      </c>
      <c r="O83" s="29" t="e">
        <f t="shared" si="44"/>
        <v>#DIV/0!</v>
      </c>
    </row>
    <row r="84" spans="2:15" ht="15.75">
      <c r="B84" s="22"/>
      <c r="C84" s="23"/>
      <c r="D84" s="24"/>
      <c r="E84" s="25"/>
      <c r="F84" s="24"/>
      <c r="G84" s="24"/>
      <c r="H84" s="26"/>
      <c r="I84" s="27"/>
      <c r="J84" s="49"/>
      <c r="K84" s="41"/>
      <c r="L84" s="27"/>
      <c r="M84" s="49"/>
      <c r="N84" s="41"/>
      <c r="O84" s="29"/>
    </row>
    <row r="85" spans="2:15" ht="15.75">
      <c r="B85" s="31"/>
      <c r="C85" s="32">
        <v>12</v>
      </c>
      <c r="D85" s="33" t="s">
        <v>49</v>
      </c>
      <c r="E85" s="42"/>
      <c r="F85" s="42"/>
      <c r="G85" s="42"/>
      <c r="H85" s="35"/>
      <c r="I85" s="36">
        <v>12000</v>
      </c>
      <c r="J85" s="37"/>
      <c r="K85" s="38">
        <f t="shared" ref="K85:L85" si="51">+K86+K89+K92+K95</f>
        <v>99500000000</v>
      </c>
      <c r="L85" s="36">
        <f t="shared" si="51"/>
        <v>517</v>
      </c>
      <c r="M85" s="37"/>
      <c r="N85" s="38">
        <f>+N86+N89+N92+N95</f>
        <v>4587500000</v>
      </c>
      <c r="O85" s="39">
        <f t="shared" ref="O85:O97" si="52">N85/K85</f>
        <v>4.6105527638190952E-2</v>
      </c>
    </row>
    <row r="86" spans="2:15" ht="15.75">
      <c r="B86" s="22"/>
      <c r="C86" s="23"/>
      <c r="D86" s="47" t="s">
        <v>10</v>
      </c>
      <c r="E86" s="45" t="s">
        <v>50</v>
      </c>
      <c r="F86" s="24"/>
      <c r="G86" s="24"/>
      <c r="H86" s="26"/>
      <c r="I86" s="48">
        <v>1053</v>
      </c>
      <c r="J86" s="49"/>
      <c r="K86" s="50">
        <f t="shared" ref="K86:L86" si="53">SUM(K87:K88)</f>
        <v>16585000000</v>
      </c>
      <c r="L86" s="48">
        <f t="shared" si="53"/>
        <v>55</v>
      </c>
      <c r="M86" s="49"/>
      <c r="N86" s="50">
        <f>SUM(N87:N88)</f>
        <v>825000000</v>
      </c>
      <c r="O86" s="29">
        <f t="shared" si="52"/>
        <v>4.9743744347301777E-2</v>
      </c>
    </row>
    <row r="87" spans="2:15" ht="15.75">
      <c r="B87" s="22"/>
      <c r="C87" s="23"/>
      <c r="D87" s="24"/>
      <c r="E87" s="24" t="s">
        <v>33</v>
      </c>
      <c r="F87" s="25" t="s">
        <v>51</v>
      </c>
      <c r="G87" s="24"/>
      <c r="H87" s="26"/>
      <c r="I87" s="27">
        <v>158</v>
      </c>
      <c r="J87" s="28">
        <v>20000000</v>
      </c>
      <c r="K87" s="28">
        <f t="shared" ref="K87:K88" si="54">I87*J87</f>
        <v>3160000000</v>
      </c>
      <c r="L87" s="27">
        <v>0</v>
      </c>
      <c r="M87" s="28">
        <v>20000000</v>
      </c>
      <c r="N87" s="28">
        <f t="shared" ref="N87:N88" si="55">L87*M87</f>
        <v>0</v>
      </c>
      <c r="O87" s="29">
        <f t="shared" si="52"/>
        <v>0</v>
      </c>
    </row>
    <row r="88" spans="2:15" ht="15.75">
      <c r="B88" s="22"/>
      <c r="C88" s="23"/>
      <c r="D88" s="24"/>
      <c r="E88" s="24" t="s">
        <v>35</v>
      </c>
      <c r="F88" s="25" t="s">
        <v>52</v>
      </c>
      <c r="G88" s="24"/>
      <c r="H88" s="26"/>
      <c r="I88" s="27">
        <v>895</v>
      </c>
      <c r="J88" s="28">
        <v>15000000</v>
      </c>
      <c r="K88" s="28">
        <f t="shared" si="54"/>
        <v>13425000000</v>
      </c>
      <c r="L88" s="27">
        <v>55</v>
      </c>
      <c r="M88" s="28">
        <v>15000000</v>
      </c>
      <c r="N88" s="28">
        <f t="shared" si="55"/>
        <v>825000000</v>
      </c>
      <c r="O88" s="29">
        <f t="shared" si="52"/>
        <v>6.1452513966480445E-2</v>
      </c>
    </row>
    <row r="89" spans="2:15" ht="15.75">
      <c r="B89" s="22"/>
      <c r="C89" s="23"/>
      <c r="D89" s="47" t="s">
        <v>12</v>
      </c>
      <c r="E89" s="45" t="s">
        <v>53</v>
      </c>
      <c r="F89" s="24"/>
      <c r="G89" s="24"/>
      <c r="H89" s="26"/>
      <c r="I89" s="48">
        <v>2383</v>
      </c>
      <c r="J89" s="49"/>
      <c r="K89" s="50">
        <f t="shared" ref="K89:L89" si="56">SUM(K90:K91)</f>
        <v>25435000000</v>
      </c>
      <c r="L89" s="48">
        <f t="shared" si="56"/>
        <v>140</v>
      </c>
      <c r="M89" s="49"/>
      <c r="N89" s="50">
        <f>SUM(N90:N91)</f>
        <v>1410000000</v>
      </c>
      <c r="O89" s="29">
        <f t="shared" si="52"/>
        <v>5.5435423628857873E-2</v>
      </c>
    </row>
    <row r="90" spans="2:15" ht="15.75">
      <c r="B90" s="22"/>
      <c r="C90" s="23"/>
      <c r="D90" s="24"/>
      <c r="E90" s="24" t="s">
        <v>33</v>
      </c>
      <c r="F90" s="25" t="s">
        <v>51</v>
      </c>
      <c r="G90" s="24"/>
      <c r="H90" s="26"/>
      <c r="I90" s="27">
        <v>321</v>
      </c>
      <c r="J90" s="28">
        <v>15000000</v>
      </c>
      <c r="K90" s="28">
        <f t="shared" ref="K90:K91" si="57">I90*J90</f>
        <v>4815000000</v>
      </c>
      <c r="L90" s="27">
        <v>2</v>
      </c>
      <c r="M90" s="28">
        <v>15000000</v>
      </c>
      <c r="N90" s="28">
        <f t="shared" ref="N90:N91" si="58">L90*M90</f>
        <v>30000000</v>
      </c>
      <c r="O90" s="29">
        <f t="shared" si="52"/>
        <v>6.2305295950155761E-3</v>
      </c>
    </row>
    <row r="91" spans="2:15" ht="15">
      <c r="B91" s="69"/>
      <c r="C91" s="70"/>
      <c r="D91" s="25"/>
      <c r="E91" s="24" t="s">
        <v>35</v>
      </c>
      <c r="F91" s="25" t="s">
        <v>52</v>
      </c>
      <c r="G91" s="25"/>
      <c r="H91" s="71"/>
      <c r="I91" s="27">
        <v>2062</v>
      </c>
      <c r="J91" s="28">
        <v>10000000</v>
      </c>
      <c r="K91" s="28">
        <f t="shared" si="57"/>
        <v>20620000000</v>
      </c>
      <c r="L91" s="27">
        <v>138</v>
      </c>
      <c r="M91" s="28">
        <v>10000000</v>
      </c>
      <c r="N91" s="28">
        <f t="shared" si="58"/>
        <v>1380000000</v>
      </c>
      <c r="O91" s="29">
        <f t="shared" si="52"/>
        <v>6.6925315227934046E-2</v>
      </c>
    </row>
    <row r="92" spans="2:15" ht="15.75">
      <c r="B92" s="69"/>
      <c r="C92" s="70"/>
      <c r="D92" s="47" t="s">
        <v>14</v>
      </c>
      <c r="E92" s="45" t="s">
        <v>54</v>
      </c>
      <c r="F92" s="25"/>
      <c r="G92" s="25"/>
      <c r="H92" s="71"/>
      <c r="I92" s="48">
        <v>4609</v>
      </c>
      <c r="J92" s="28"/>
      <c r="K92" s="50">
        <f t="shared" ref="K92:L92" si="59">SUM(K93:K94)</f>
        <v>35915000000</v>
      </c>
      <c r="L92" s="48">
        <f t="shared" si="59"/>
        <v>272</v>
      </c>
      <c r="M92" s="28"/>
      <c r="N92" s="50">
        <f>SUM(N93:N94)</f>
        <v>2077500000</v>
      </c>
      <c r="O92" s="29">
        <f t="shared" si="52"/>
        <v>5.7844911596825838E-2</v>
      </c>
    </row>
    <row r="93" spans="2:15" ht="15">
      <c r="B93" s="69"/>
      <c r="C93" s="70"/>
      <c r="D93" s="24"/>
      <c r="E93" s="24" t="s">
        <v>33</v>
      </c>
      <c r="F93" s="25" t="s">
        <v>51</v>
      </c>
      <c r="G93" s="25"/>
      <c r="H93" s="71"/>
      <c r="I93" s="27">
        <v>539</v>
      </c>
      <c r="J93" s="28">
        <v>10000000</v>
      </c>
      <c r="K93" s="28">
        <f t="shared" ref="K93:K94" si="60">I93*J93</f>
        <v>5390000000</v>
      </c>
      <c r="L93" s="27">
        <v>15</v>
      </c>
      <c r="M93" s="28">
        <v>10000000</v>
      </c>
      <c r="N93" s="28">
        <f t="shared" ref="N93:N94" si="61">L93*M93</f>
        <v>150000000</v>
      </c>
      <c r="O93" s="29">
        <f t="shared" si="52"/>
        <v>2.7829313543599257E-2</v>
      </c>
    </row>
    <row r="94" spans="2:15" ht="15">
      <c r="B94" s="69"/>
      <c r="C94" s="70"/>
      <c r="D94" s="24"/>
      <c r="E94" s="24" t="s">
        <v>35</v>
      </c>
      <c r="F94" s="25" t="s">
        <v>52</v>
      </c>
      <c r="G94" s="25"/>
      <c r="H94" s="71"/>
      <c r="I94" s="27">
        <v>4070</v>
      </c>
      <c r="J94" s="28">
        <v>7500000</v>
      </c>
      <c r="K94" s="28">
        <f t="shared" si="60"/>
        <v>30525000000</v>
      </c>
      <c r="L94" s="27">
        <v>257</v>
      </c>
      <c r="M94" s="28">
        <v>7500000</v>
      </c>
      <c r="N94" s="28">
        <f t="shared" si="61"/>
        <v>1927500000</v>
      </c>
      <c r="O94" s="29">
        <f t="shared" si="52"/>
        <v>6.3144963144963151E-2</v>
      </c>
    </row>
    <row r="95" spans="2:15" ht="15.75">
      <c r="B95" s="69"/>
      <c r="C95" s="70"/>
      <c r="D95" s="47" t="s">
        <v>16</v>
      </c>
      <c r="E95" s="45" t="s">
        <v>55</v>
      </c>
      <c r="F95" s="25"/>
      <c r="G95" s="25"/>
      <c r="H95" s="71"/>
      <c r="I95" s="48">
        <v>3955</v>
      </c>
      <c r="J95" s="28"/>
      <c r="K95" s="50">
        <f t="shared" ref="K95:L95" si="62">SUM(K96:K97)</f>
        <v>21565000000</v>
      </c>
      <c r="L95" s="48">
        <f t="shared" si="62"/>
        <v>50</v>
      </c>
      <c r="M95" s="28"/>
      <c r="N95" s="50">
        <f>SUM(N96:N97)</f>
        <v>275000000</v>
      </c>
      <c r="O95" s="29">
        <f t="shared" si="52"/>
        <v>1.2752144678877812E-2</v>
      </c>
    </row>
    <row r="96" spans="2:15" ht="15">
      <c r="B96" s="69"/>
      <c r="C96" s="70"/>
      <c r="D96" s="25"/>
      <c r="E96" s="24" t="s">
        <v>33</v>
      </c>
      <c r="F96" s="25" t="s">
        <v>51</v>
      </c>
      <c r="G96" s="25"/>
      <c r="H96" s="71"/>
      <c r="I96" s="27">
        <v>716</v>
      </c>
      <c r="J96" s="28">
        <v>7500000</v>
      </c>
      <c r="K96" s="28">
        <f t="shared" ref="K96:K97" si="63">I96*J96</f>
        <v>5370000000</v>
      </c>
      <c r="L96" s="27">
        <v>10</v>
      </c>
      <c r="M96" s="28">
        <v>7500000</v>
      </c>
      <c r="N96" s="28">
        <f t="shared" ref="N96:N97" si="64">L96*M96</f>
        <v>75000000</v>
      </c>
      <c r="O96" s="29">
        <f t="shared" si="52"/>
        <v>1.3966480446927373E-2</v>
      </c>
    </row>
    <row r="97" spans="2:15" ht="15">
      <c r="B97" s="69"/>
      <c r="C97" s="70"/>
      <c r="D97" s="25"/>
      <c r="E97" s="24" t="s">
        <v>35</v>
      </c>
      <c r="F97" s="25" t="s">
        <v>52</v>
      </c>
      <c r="G97" s="25"/>
      <c r="H97" s="71"/>
      <c r="I97" s="27">
        <v>3239</v>
      </c>
      <c r="J97" s="28">
        <v>5000000</v>
      </c>
      <c r="K97" s="28">
        <f t="shared" si="63"/>
        <v>16195000000</v>
      </c>
      <c r="L97" s="27">
        <v>40</v>
      </c>
      <c r="M97" s="28">
        <v>5000000</v>
      </c>
      <c r="N97" s="28">
        <f t="shared" si="64"/>
        <v>200000000</v>
      </c>
      <c r="O97" s="29">
        <f t="shared" si="52"/>
        <v>1.234949058351343E-2</v>
      </c>
    </row>
    <row r="98" spans="2:15" ht="15">
      <c r="B98" s="72"/>
      <c r="C98" s="73"/>
      <c r="D98" s="74"/>
      <c r="E98" s="74"/>
      <c r="F98" s="74"/>
      <c r="G98" s="74"/>
      <c r="H98" s="75"/>
      <c r="I98" s="76"/>
      <c r="J98" s="77"/>
      <c r="K98" s="78"/>
      <c r="L98" s="76"/>
      <c r="M98" s="77"/>
      <c r="N98" s="78"/>
      <c r="O98" s="79"/>
    </row>
    <row r="99" spans="2:15" ht="15.75">
      <c r="B99" s="80"/>
      <c r="C99" s="105" t="s">
        <v>56</v>
      </c>
      <c r="D99" s="103"/>
      <c r="E99" s="103"/>
      <c r="F99" s="103"/>
      <c r="G99" s="103"/>
      <c r="H99" s="104"/>
      <c r="I99" s="81">
        <f>SUM(I13,I24,I35,I37,I45,I49,I53,I57,I65,I69,I77,I85)</f>
        <v>19337001</v>
      </c>
      <c r="J99" s="81"/>
      <c r="K99" s="81">
        <f>SUM(K13,K24,K35,K37,K45,K49,K53,K57,K65,K69,K77,K85)</f>
        <v>2210588370000</v>
      </c>
      <c r="L99" s="81">
        <f>SUM(L13,L24,L35,L37,L45,L49,L53,L57,L65,L69,L77,L85)</f>
        <v>725728</v>
      </c>
      <c r="M99" s="81"/>
      <c r="N99" s="81">
        <f>SUM(N13,N24,N35,N37,N45,N49,N53,N57,N65,N69,N77,N85)</f>
        <v>80646270000</v>
      </c>
      <c r="O99" s="82">
        <f>N99/K99</f>
        <v>3.6481812305924691E-2</v>
      </c>
    </row>
    <row r="100" spans="2:15" ht="15.75">
      <c r="B100" s="83"/>
      <c r="C100" s="84"/>
      <c r="D100" s="84"/>
      <c r="E100" s="84"/>
      <c r="F100" s="84"/>
      <c r="G100" s="84"/>
      <c r="H100" s="84"/>
      <c r="I100" s="85"/>
      <c r="J100" s="84"/>
      <c r="K100" s="84"/>
      <c r="L100" s="85"/>
      <c r="M100" s="84"/>
      <c r="N100" s="86"/>
      <c r="O100" s="87"/>
    </row>
    <row r="101" spans="2:15" ht="15.75">
      <c r="B101" s="83"/>
      <c r="C101" s="88"/>
      <c r="D101" s="84"/>
      <c r="E101" s="84"/>
      <c r="F101" s="84"/>
      <c r="G101" s="84"/>
      <c r="H101" s="84"/>
      <c r="I101" s="84"/>
      <c r="J101" s="84"/>
      <c r="K101" s="84"/>
      <c r="L101" s="84"/>
      <c r="M101" s="106"/>
      <c r="N101" s="100"/>
      <c r="O101" s="100"/>
    </row>
    <row r="102" spans="2:15" ht="15.75">
      <c r="B102" s="101"/>
      <c r="C102" s="100"/>
      <c r="D102" s="100"/>
      <c r="E102" s="100"/>
      <c r="F102" s="100"/>
      <c r="G102" s="84"/>
      <c r="H102" s="84"/>
      <c r="I102" s="84"/>
      <c r="J102" s="84"/>
      <c r="K102" s="84"/>
      <c r="L102" s="84"/>
      <c r="M102" s="101"/>
      <c r="N102" s="100"/>
      <c r="O102" s="100"/>
    </row>
    <row r="103" spans="2:15" ht="15.75">
      <c r="B103" s="89"/>
      <c r="C103" s="89"/>
      <c r="D103" s="89"/>
      <c r="E103" s="84"/>
      <c r="F103" s="84"/>
      <c r="G103" s="84"/>
      <c r="H103" s="84"/>
      <c r="I103" s="86"/>
      <c r="J103" s="86"/>
      <c r="K103" s="86"/>
      <c r="L103" s="86"/>
      <c r="M103" s="89"/>
      <c r="N103" s="89"/>
      <c r="O103" s="89"/>
    </row>
    <row r="104" spans="2:15" ht="15.75">
      <c r="B104" s="101"/>
      <c r="C104" s="100"/>
      <c r="D104" s="100"/>
      <c r="E104" s="100"/>
      <c r="F104" s="100"/>
      <c r="G104" s="84"/>
      <c r="H104" s="84"/>
      <c r="I104" s="84"/>
      <c r="J104" s="84"/>
      <c r="K104" s="84"/>
      <c r="L104" s="84"/>
      <c r="M104" s="101"/>
      <c r="N104" s="100"/>
      <c r="O104" s="100"/>
    </row>
    <row r="105" spans="2:15" ht="15.75">
      <c r="B105" s="89"/>
      <c r="C105" s="89"/>
      <c r="D105" s="89"/>
      <c r="E105" s="84"/>
      <c r="F105" s="84"/>
      <c r="G105" s="84"/>
      <c r="H105" s="84"/>
      <c r="I105" s="84"/>
      <c r="J105" s="84"/>
      <c r="K105" s="84"/>
      <c r="L105" s="84"/>
      <c r="M105" s="89"/>
      <c r="N105" s="89"/>
      <c r="O105" s="89"/>
    </row>
    <row r="106" spans="2:15" ht="15.75">
      <c r="B106" s="99"/>
      <c r="C106" s="100"/>
      <c r="D106" s="100"/>
      <c r="E106" s="100"/>
      <c r="F106" s="100"/>
      <c r="G106" s="84"/>
      <c r="H106" s="84"/>
      <c r="I106" s="84"/>
      <c r="J106" s="84"/>
      <c r="K106" s="84"/>
      <c r="L106" s="84"/>
      <c r="M106" s="99"/>
      <c r="N106" s="100"/>
      <c r="O106" s="100"/>
    </row>
    <row r="107" spans="2:15" ht="15.75">
      <c r="B107" s="101"/>
      <c r="C107" s="100"/>
      <c r="D107" s="100"/>
      <c r="E107" s="100"/>
      <c r="F107" s="100"/>
      <c r="G107" s="84"/>
      <c r="H107" s="84"/>
      <c r="I107" s="84"/>
      <c r="J107" s="84"/>
      <c r="K107" s="84"/>
      <c r="L107" s="84"/>
      <c r="M107" s="101"/>
      <c r="N107" s="100"/>
      <c r="O107" s="100"/>
    </row>
  </sheetData>
  <mergeCells count="20">
    <mergeCell ref="B2:G5"/>
    <mergeCell ref="B6:O6"/>
    <mergeCell ref="B7:O7"/>
    <mergeCell ref="B9:H9"/>
    <mergeCell ref="B10:B11"/>
    <mergeCell ref="C10:H11"/>
    <mergeCell ref="I10:K10"/>
    <mergeCell ref="L10:N10"/>
    <mergeCell ref="O10:O11"/>
    <mergeCell ref="B106:F106"/>
    <mergeCell ref="M106:O106"/>
    <mergeCell ref="B107:F107"/>
    <mergeCell ref="M107:O107"/>
    <mergeCell ref="C12:H12"/>
    <mergeCell ref="C99:H99"/>
    <mergeCell ref="M101:O101"/>
    <mergeCell ref="B102:F102"/>
    <mergeCell ref="M102:O102"/>
    <mergeCell ref="B104:F104"/>
    <mergeCell ref="M104:O10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7"/>
  <sheetViews>
    <sheetView topLeftCell="G64" zoomScale="87" zoomScaleNormal="87" workbookViewId="0">
      <selection activeCell="L96" sqref="L96:L97"/>
    </sheetView>
  </sheetViews>
  <sheetFormatPr defaultRowHeight="14.25"/>
  <cols>
    <col min="2" max="2" width="5.875" customWidth="1"/>
    <col min="3" max="10" width="16.125" customWidth="1"/>
    <col min="11" max="11" width="26.25" customWidth="1"/>
    <col min="12" max="13" width="16.125" customWidth="1"/>
    <col min="14" max="14" width="20.75" customWidth="1"/>
    <col min="15" max="15" width="16.125" customWidth="1"/>
  </cols>
  <sheetData>
    <row r="1" spans="2:15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2:15" ht="15">
      <c r="B2" s="107"/>
      <c r="C2" s="108"/>
      <c r="D2" s="108"/>
      <c r="E2" s="108"/>
      <c r="F2" s="108"/>
      <c r="G2" s="108"/>
      <c r="H2" s="3"/>
      <c r="I2" s="3"/>
      <c r="J2" s="3"/>
      <c r="K2" s="3"/>
      <c r="L2" s="3"/>
      <c r="M2" s="3"/>
      <c r="N2" s="3"/>
      <c r="O2" s="4"/>
    </row>
    <row r="3" spans="2:15" ht="15">
      <c r="B3" s="108"/>
      <c r="C3" s="100"/>
      <c r="D3" s="100"/>
      <c r="E3" s="100"/>
      <c r="F3" s="100"/>
      <c r="G3" s="108"/>
      <c r="H3" s="3"/>
      <c r="I3" s="3"/>
      <c r="J3" s="3"/>
      <c r="K3" s="3"/>
      <c r="L3" s="3"/>
      <c r="M3" s="3"/>
      <c r="N3" s="3"/>
      <c r="O3" s="4"/>
    </row>
    <row r="4" spans="2:15" ht="15.75">
      <c r="B4" s="108"/>
      <c r="C4" s="100"/>
      <c r="D4" s="100"/>
      <c r="E4" s="100"/>
      <c r="F4" s="100"/>
      <c r="G4" s="108"/>
      <c r="H4" s="5"/>
      <c r="I4" s="3"/>
      <c r="J4" s="6"/>
      <c r="K4" s="7"/>
      <c r="L4" s="3"/>
      <c r="M4" s="6"/>
      <c r="N4" s="7"/>
      <c r="O4" s="4"/>
    </row>
    <row r="5" spans="2:15" ht="15.75">
      <c r="B5" s="108"/>
      <c r="C5" s="108"/>
      <c r="D5" s="108"/>
      <c r="E5" s="108"/>
      <c r="F5" s="108"/>
      <c r="G5" s="108"/>
      <c r="H5" s="5"/>
      <c r="I5" s="5"/>
      <c r="J5" s="8"/>
      <c r="K5" s="6"/>
      <c r="L5" s="5"/>
      <c r="M5" s="8"/>
      <c r="N5" s="6"/>
      <c r="O5" s="4"/>
    </row>
    <row r="6" spans="2:15" ht="15.75">
      <c r="B6" s="109" t="s">
        <v>57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</row>
    <row r="7" spans="2:15" ht="15.75">
      <c r="B7" s="110" t="s">
        <v>61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</row>
    <row r="8" spans="2:15" ht="15.7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ht="15.75">
      <c r="B9" s="111"/>
      <c r="C9" s="108"/>
      <c r="D9" s="108"/>
      <c r="E9" s="108"/>
      <c r="F9" s="108"/>
      <c r="G9" s="108"/>
      <c r="H9" s="108"/>
      <c r="I9" s="11"/>
      <c r="J9" s="9"/>
      <c r="K9" s="11"/>
      <c r="L9" s="11"/>
      <c r="M9" s="9"/>
      <c r="N9" s="11"/>
      <c r="O9" s="4"/>
    </row>
    <row r="10" spans="2:15" ht="15.75">
      <c r="B10" s="112" t="s">
        <v>0</v>
      </c>
      <c r="C10" s="114" t="s">
        <v>1</v>
      </c>
      <c r="D10" s="115"/>
      <c r="E10" s="115"/>
      <c r="F10" s="115"/>
      <c r="G10" s="115"/>
      <c r="H10" s="116"/>
      <c r="I10" s="120" t="s">
        <v>2</v>
      </c>
      <c r="J10" s="103"/>
      <c r="K10" s="104"/>
      <c r="L10" s="120" t="s">
        <v>3</v>
      </c>
      <c r="M10" s="103"/>
      <c r="N10" s="104"/>
      <c r="O10" s="121" t="s">
        <v>4</v>
      </c>
    </row>
    <row r="11" spans="2:15" ht="15.75">
      <c r="B11" s="113"/>
      <c r="C11" s="117"/>
      <c r="D11" s="118"/>
      <c r="E11" s="118"/>
      <c r="F11" s="118"/>
      <c r="G11" s="118"/>
      <c r="H11" s="119"/>
      <c r="I11" s="12" t="s">
        <v>5</v>
      </c>
      <c r="J11" s="12" t="s">
        <v>6</v>
      </c>
      <c r="K11" s="12" t="s">
        <v>7</v>
      </c>
      <c r="L11" s="12" t="s">
        <v>5</v>
      </c>
      <c r="M11" s="12" t="s">
        <v>6</v>
      </c>
      <c r="N11" s="12" t="s">
        <v>8</v>
      </c>
      <c r="O11" s="122"/>
    </row>
    <row r="12" spans="2:15" ht="15.75">
      <c r="B12" s="12">
        <v>1</v>
      </c>
      <c r="C12" s="102">
        <v>2</v>
      </c>
      <c r="D12" s="103"/>
      <c r="E12" s="103"/>
      <c r="F12" s="103"/>
      <c r="G12" s="103"/>
      <c r="H12" s="104"/>
      <c r="I12" s="12">
        <v>3</v>
      </c>
      <c r="J12" s="12">
        <v>4</v>
      </c>
      <c r="K12" s="12">
        <v>5</v>
      </c>
      <c r="L12" s="12">
        <v>3</v>
      </c>
      <c r="M12" s="12">
        <v>4</v>
      </c>
      <c r="N12" s="12">
        <v>5</v>
      </c>
      <c r="O12" s="12">
        <v>6</v>
      </c>
    </row>
    <row r="13" spans="2:15" ht="15.75">
      <c r="B13" s="13"/>
      <c r="C13" s="14">
        <v>1</v>
      </c>
      <c r="D13" s="15" t="s">
        <v>9</v>
      </c>
      <c r="E13" s="16"/>
      <c r="F13" s="16"/>
      <c r="G13" s="16"/>
      <c r="H13" s="17"/>
      <c r="I13" s="18">
        <v>1002980</v>
      </c>
      <c r="J13" s="19"/>
      <c r="K13" s="20">
        <f t="shared" ref="K13:L13" si="0">SUM(K14:K22)</f>
        <v>106956030000</v>
      </c>
      <c r="L13" s="18">
        <f t="shared" si="0"/>
        <v>36246</v>
      </c>
      <c r="M13" s="19"/>
      <c r="N13" s="20">
        <f>SUM(N14:N22)</f>
        <v>3933500000</v>
      </c>
      <c r="O13" s="21">
        <f t="shared" ref="O13:O22" si="1">N13/K13</f>
        <v>3.677679509981812E-2</v>
      </c>
    </row>
    <row r="14" spans="2:15" ht="15.75">
      <c r="B14" s="22"/>
      <c r="C14" s="23"/>
      <c r="D14" s="24" t="s">
        <v>10</v>
      </c>
      <c r="E14" s="25" t="s">
        <v>11</v>
      </c>
      <c r="F14" s="24"/>
      <c r="G14" s="24"/>
      <c r="H14" s="26"/>
      <c r="I14" s="27">
        <v>294130</v>
      </c>
      <c r="J14" s="28">
        <v>120000</v>
      </c>
      <c r="K14" s="28">
        <f t="shared" ref="K14:K22" si="2">I14*J14</f>
        <v>35295600000</v>
      </c>
      <c r="L14" s="27">
        <v>13251</v>
      </c>
      <c r="M14" s="28">
        <v>120000</v>
      </c>
      <c r="N14" s="28">
        <f t="shared" ref="N14:N22" si="3">L14*M14</f>
        <v>1590120000</v>
      </c>
      <c r="O14" s="29">
        <f t="shared" si="1"/>
        <v>4.5051507836670862E-2</v>
      </c>
    </row>
    <row r="15" spans="2:15" ht="15.75">
      <c r="B15" s="22"/>
      <c r="C15" s="23"/>
      <c r="D15" s="24" t="s">
        <v>12</v>
      </c>
      <c r="E15" s="25" t="s">
        <v>13</v>
      </c>
      <c r="F15" s="24"/>
      <c r="G15" s="24"/>
      <c r="H15" s="26"/>
      <c r="I15" s="27">
        <v>30304</v>
      </c>
      <c r="J15" s="28">
        <v>120000</v>
      </c>
      <c r="K15" s="28">
        <f t="shared" si="2"/>
        <v>3636480000</v>
      </c>
      <c r="L15" s="27">
        <v>1677</v>
      </c>
      <c r="M15" s="28">
        <v>120000</v>
      </c>
      <c r="N15" s="28">
        <f t="shared" si="3"/>
        <v>201240000</v>
      </c>
      <c r="O15" s="29">
        <f t="shared" si="1"/>
        <v>5.5339229144667372E-2</v>
      </c>
    </row>
    <row r="16" spans="2:15" ht="15.75">
      <c r="B16" s="22"/>
      <c r="C16" s="23"/>
      <c r="D16" s="24" t="s">
        <v>14</v>
      </c>
      <c r="E16" s="25" t="s">
        <v>15</v>
      </c>
      <c r="F16" s="24"/>
      <c r="G16" s="24"/>
      <c r="H16" s="26"/>
      <c r="I16" s="27">
        <v>13370</v>
      </c>
      <c r="J16" s="28">
        <v>120000</v>
      </c>
      <c r="K16" s="28">
        <f t="shared" si="2"/>
        <v>1604400000</v>
      </c>
      <c r="L16" s="27">
        <v>527</v>
      </c>
      <c r="M16" s="28">
        <v>120000</v>
      </c>
      <c r="N16" s="28">
        <f t="shared" si="3"/>
        <v>63240000</v>
      </c>
      <c r="O16" s="29">
        <f t="shared" si="1"/>
        <v>3.9416604338070309E-2</v>
      </c>
    </row>
    <row r="17" spans="2:15" ht="15.75">
      <c r="B17" s="22"/>
      <c r="C17" s="23"/>
      <c r="D17" s="24" t="s">
        <v>16</v>
      </c>
      <c r="E17" s="25" t="s">
        <v>17</v>
      </c>
      <c r="F17" s="24"/>
      <c r="G17" s="24"/>
      <c r="H17" s="26"/>
      <c r="I17" s="27">
        <v>662649</v>
      </c>
      <c r="J17" s="28">
        <v>100000</v>
      </c>
      <c r="K17" s="28">
        <f t="shared" si="2"/>
        <v>66264900000</v>
      </c>
      <c r="L17" s="27">
        <v>20781</v>
      </c>
      <c r="M17" s="28">
        <v>100000</v>
      </c>
      <c r="N17" s="28">
        <f t="shared" si="3"/>
        <v>2078100000</v>
      </c>
      <c r="O17" s="29">
        <f t="shared" si="1"/>
        <v>3.1360494017194623E-2</v>
      </c>
    </row>
    <row r="18" spans="2:15" ht="15.75">
      <c r="B18" s="22"/>
      <c r="C18" s="23"/>
      <c r="D18" s="24" t="s">
        <v>18</v>
      </c>
      <c r="E18" s="25" t="s">
        <v>19</v>
      </c>
      <c r="F18" s="24"/>
      <c r="G18" s="24"/>
      <c r="H18" s="26"/>
      <c r="I18" s="27">
        <v>299</v>
      </c>
      <c r="J18" s="28">
        <v>100000</v>
      </c>
      <c r="K18" s="28">
        <f t="shared" si="2"/>
        <v>29900000</v>
      </c>
      <c r="L18" s="27">
        <v>6</v>
      </c>
      <c r="M18" s="28">
        <v>100000</v>
      </c>
      <c r="N18" s="28">
        <f t="shared" si="3"/>
        <v>600000</v>
      </c>
      <c r="O18" s="29">
        <f t="shared" si="1"/>
        <v>2.0066889632107024E-2</v>
      </c>
    </row>
    <row r="19" spans="2:15" ht="15.75">
      <c r="B19" s="22"/>
      <c r="C19" s="23"/>
      <c r="D19" s="24" t="s">
        <v>20</v>
      </c>
      <c r="E19" s="25" t="s">
        <v>21</v>
      </c>
      <c r="F19" s="24"/>
      <c r="G19" s="24"/>
      <c r="H19" s="26"/>
      <c r="I19" s="27">
        <v>267</v>
      </c>
      <c r="J19" s="28">
        <v>100000</v>
      </c>
      <c r="K19" s="28">
        <f t="shared" si="2"/>
        <v>26700000</v>
      </c>
      <c r="L19" s="27">
        <v>0</v>
      </c>
      <c r="M19" s="28">
        <v>100000</v>
      </c>
      <c r="N19" s="28">
        <f t="shared" si="3"/>
        <v>0</v>
      </c>
      <c r="O19" s="29">
        <f t="shared" si="1"/>
        <v>0</v>
      </c>
    </row>
    <row r="20" spans="2:15" ht="15.75">
      <c r="B20" s="22"/>
      <c r="C20" s="23"/>
      <c r="D20" s="24" t="s">
        <v>22</v>
      </c>
      <c r="E20" s="25" t="s">
        <v>23</v>
      </c>
      <c r="F20" s="24"/>
      <c r="G20" s="24"/>
      <c r="H20" s="26"/>
      <c r="I20" s="27">
        <v>1925</v>
      </c>
      <c r="J20" s="28">
        <v>50000</v>
      </c>
      <c r="K20" s="28">
        <f t="shared" si="2"/>
        <v>96250000</v>
      </c>
      <c r="L20" s="27">
        <v>3</v>
      </c>
      <c r="M20" s="28">
        <v>50000</v>
      </c>
      <c r="N20" s="28">
        <f t="shared" si="3"/>
        <v>150000</v>
      </c>
      <c r="O20" s="29">
        <f t="shared" si="1"/>
        <v>1.5584415584415584E-3</v>
      </c>
    </row>
    <row r="21" spans="2:15" ht="15.75">
      <c r="B21" s="22"/>
      <c r="C21" s="23"/>
      <c r="D21" s="24" t="s">
        <v>24</v>
      </c>
      <c r="E21" s="25" t="s">
        <v>25</v>
      </c>
      <c r="F21" s="24"/>
      <c r="G21" s="24"/>
      <c r="H21" s="26"/>
      <c r="I21" s="27">
        <v>36</v>
      </c>
      <c r="J21" s="28">
        <v>50000</v>
      </c>
      <c r="K21" s="28">
        <f t="shared" si="2"/>
        <v>1800000</v>
      </c>
      <c r="L21" s="27">
        <v>1</v>
      </c>
      <c r="M21" s="28">
        <v>50000</v>
      </c>
      <c r="N21" s="28">
        <f t="shared" si="3"/>
        <v>50000</v>
      </c>
      <c r="O21" s="29">
        <f t="shared" si="1"/>
        <v>2.7777777777777776E-2</v>
      </c>
    </row>
    <row r="22" spans="2:15" ht="15.75">
      <c r="B22" s="22"/>
      <c r="C22" s="23"/>
      <c r="D22" s="24" t="s">
        <v>26</v>
      </c>
      <c r="E22" s="25" t="s">
        <v>27</v>
      </c>
      <c r="F22" s="24"/>
      <c r="G22" s="24"/>
      <c r="H22" s="26"/>
      <c r="I22" s="27">
        <v>0</v>
      </c>
      <c r="J22" s="28">
        <v>250000</v>
      </c>
      <c r="K22" s="28">
        <f t="shared" si="2"/>
        <v>0</v>
      </c>
      <c r="L22" s="27">
        <v>0</v>
      </c>
      <c r="M22" s="28">
        <v>250000</v>
      </c>
      <c r="N22" s="28">
        <f t="shared" si="3"/>
        <v>0</v>
      </c>
      <c r="O22" s="29" t="e">
        <f t="shared" si="1"/>
        <v>#DIV/0!</v>
      </c>
    </row>
    <row r="23" spans="2:15" ht="15.75">
      <c r="B23" s="22"/>
      <c r="C23" s="23"/>
      <c r="D23" s="24"/>
      <c r="E23" s="25"/>
      <c r="F23" s="24"/>
      <c r="G23" s="24"/>
      <c r="H23" s="26"/>
      <c r="I23" s="30"/>
      <c r="J23" s="28"/>
      <c r="K23" s="28"/>
      <c r="L23" s="30"/>
      <c r="M23" s="28"/>
      <c r="N23" s="28"/>
      <c r="O23" s="29"/>
    </row>
    <row r="24" spans="2:15" ht="15.75">
      <c r="B24" s="31"/>
      <c r="C24" s="32">
        <v>2</v>
      </c>
      <c r="D24" s="33" t="s">
        <v>28</v>
      </c>
      <c r="E24" s="34"/>
      <c r="F24" s="34"/>
      <c r="G24" s="34"/>
      <c r="H24" s="35"/>
      <c r="I24" s="36">
        <v>1997021</v>
      </c>
      <c r="J24" s="37"/>
      <c r="K24" s="38">
        <f t="shared" ref="K24:L24" si="4">SUM(K25:K33)</f>
        <v>153240870000</v>
      </c>
      <c r="L24" s="36">
        <f t="shared" si="4"/>
        <v>125380</v>
      </c>
      <c r="M24" s="37"/>
      <c r="N24" s="38">
        <f>SUM(N25:N33)</f>
        <v>9622120000</v>
      </c>
      <c r="O24" s="39">
        <f t="shared" ref="O24:O32" si="5">N24/K24</f>
        <v>6.2790820751670223E-2</v>
      </c>
    </row>
    <row r="25" spans="2:15" ht="15.75">
      <c r="B25" s="22"/>
      <c r="C25" s="23"/>
      <c r="D25" s="24" t="s">
        <v>10</v>
      </c>
      <c r="E25" s="25" t="s">
        <v>11</v>
      </c>
      <c r="F25" s="24"/>
      <c r="G25" s="24"/>
      <c r="H25" s="26"/>
      <c r="I25" s="27">
        <v>596792</v>
      </c>
      <c r="J25" s="28">
        <v>80000</v>
      </c>
      <c r="K25" s="28">
        <f t="shared" ref="K25:K33" si="6">I25*J25</f>
        <v>47743360000</v>
      </c>
      <c r="L25" s="27">
        <v>39234</v>
      </c>
      <c r="M25" s="28">
        <v>80000</v>
      </c>
      <c r="N25" s="28">
        <f t="shared" ref="N25:N33" si="7">L25*M25</f>
        <v>3138720000</v>
      </c>
      <c r="O25" s="29">
        <f t="shared" si="5"/>
        <v>6.5741497875306643E-2</v>
      </c>
    </row>
    <row r="26" spans="2:15" ht="15.75">
      <c r="B26" s="22"/>
      <c r="C26" s="23"/>
      <c r="D26" s="24" t="s">
        <v>12</v>
      </c>
      <c r="E26" s="25" t="s">
        <v>13</v>
      </c>
      <c r="F26" s="24"/>
      <c r="G26" s="24"/>
      <c r="H26" s="26"/>
      <c r="I26" s="27">
        <v>63576</v>
      </c>
      <c r="J26" s="28">
        <v>80000</v>
      </c>
      <c r="K26" s="28">
        <f t="shared" si="6"/>
        <v>5086080000</v>
      </c>
      <c r="L26" s="27">
        <v>2805</v>
      </c>
      <c r="M26" s="28">
        <v>80000</v>
      </c>
      <c r="N26" s="28">
        <f t="shared" si="7"/>
        <v>224400000</v>
      </c>
      <c r="O26" s="29">
        <f t="shared" si="5"/>
        <v>4.4120422801057005E-2</v>
      </c>
    </row>
    <row r="27" spans="2:15" ht="15.75">
      <c r="B27" s="22"/>
      <c r="C27" s="23"/>
      <c r="D27" s="24" t="s">
        <v>14</v>
      </c>
      <c r="E27" s="25" t="s">
        <v>15</v>
      </c>
      <c r="F27" s="24"/>
      <c r="G27" s="24"/>
      <c r="H27" s="26"/>
      <c r="I27" s="27">
        <v>35983</v>
      </c>
      <c r="J27" s="28">
        <v>80000</v>
      </c>
      <c r="K27" s="28">
        <f t="shared" si="6"/>
        <v>2878640000</v>
      </c>
      <c r="L27" s="27">
        <v>1784</v>
      </c>
      <c r="M27" s="28">
        <v>80000</v>
      </c>
      <c r="N27" s="28">
        <f t="shared" si="7"/>
        <v>142720000</v>
      </c>
      <c r="O27" s="29">
        <f t="shared" si="5"/>
        <v>4.9578967845927246E-2</v>
      </c>
    </row>
    <row r="28" spans="2:15" ht="15.75">
      <c r="B28" s="22"/>
      <c r="C28" s="23"/>
      <c r="D28" s="24" t="s">
        <v>16</v>
      </c>
      <c r="E28" s="25" t="s">
        <v>17</v>
      </c>
      <c r="F28" s="24"/>
      <c r="G28" s="24"/>
      <c r="H28" s="26"/>
      <c r="I28" s="27">
        <v>1296381</v>
      </c>
      <c r="J28" s="28">
        <v>75000</v>
      </c>
      <c r="K28" s="28">
        <f t="shared" si="6"/>
        <v>97228575000</v>
      </c>
      <c r="L28" s="27">
        <v>81517</v>
      </c>
      <c r="M28" s="28">
        <v>75000</v>
      </c>
      <c r="N28" s="28">
        <f t="shared" si="7"/>
        <v>6113775000</v>
      </c>
      <c r="O28" s="29">
        <f t="shared" si="5"/>
        <v>6.2880434069922345E-2</v>
      </c>
    </row>
    <row r="29" spans="2:15" ht="15.75">
      <c r="B29" s="22"/>
      <c r="C29" s="23"/>
      <c r="D29" s="24" t="s">
        <v>18</v>
      </c>
      <c r="E29" s="25" t="s">
        <v>19</v>
      </c>
      <c r="F29" s="24"/>
      <c r="G29" s="24"/>
      <c r="H29" s="26"/>
      <c r="I29" s="27">
        <v>3815</v>
      </c>
      <c r="J29" s="28">
        <v>75000</v>
      </c>
      <c r="K29" s="28">
        <f t="shared" si="6"/>
        <v>286125000</v>
      </c>
      <c r="L29" s="27">
        <v>29</v>
      </c>
      <c r="M29" s="28">
        <v>75000</v>
      </c>
      <c r="N29" s="28">
        <f t="shared" si="7"/>
        <v>2175000</v>
      </c>
      <c r="O29" s="29">
        <f t="shared" si="5"/>
        <v>7.6015727391874179E-3</v>
      </c>
    </row>
    <row r="30" spans="2:15" ht="15.75">
      <c r="B30" s="22"/>
      <c r="C30" s="23"/>
      <c r="D30" s="24" t="s">
        <v>20</v>
      </c>
      <c r="E30" s="25" t="s">
        <v>21</v>
      </c>
      <c r="F30" s="24"/>
      <c r="G30" s="24"/>
      <c r="H30" s="26"/>
      <c r="I30" s="27">
        <v>86</v>
      </c>
      <c r="J30" s="28">
        <v>75000</v>
      </c>
      <c r="K30" s="28">
        <f t="shared" si="6"/>
        <v>6450000</v>
      </c>
      <c r="L30" s="27">
        <v>0</v>
      </c>
      <c r="M30" s="28">
        <v>75000</v>
      </c>
      <c r="N30" s="28">
        <f t="shared" si="7"/>
        <v>0</v>
      </c>
      <c r="O30" s="29">
        <f t="shared" si="5"/>
        <v>0</v>
      </c>
    </row>
    <row r="31" spans="2:15" ht="15.75">
      <c r="B31" s="22"/>
      <c r="C31" s="23"/>
      <c r="D31" s="24" t="s">
        <v>22</v>
      </c>
      <c r="E31" s="25" t="s">
        <v>23</v>
      </c>
      <c r="F31" s="24"/>
      <c r="G31" s="24"/>
      <c r="H31" s="26"/>
      <c r="I31" s="27">
        <v>360</v>
      </c>
      <c r="J31" s="28">
        <v>30000</v>
      </c>
      <c r="K31" s="28">
        <f t="shared" si="6"/>
        <v>10800000</v>
      </c>
      <c r="L31" s="27">
        <v>11</v>
      </c>
      <c r="M31" s="28">
        <v>30000</v>
      </c>
      <c r="N31" s="28">
        <f t="shared" si="7"/>
        <v>330000</v>
      </c>
      <c r="O31" s="29">
        <f t="shared" si="5"/>
        <v>3.0555555555555555E-2</v>
      </c>
    </row>
    <row r="32" spans="2:15" ht="15.75">
      <c r="B32" s="22"/>
      <c r="C32" s="23"/>
      <c r="D32" s="24" t="s">
        <v>24</v>
      </c>
      <c r="E32" s="25" t="s">
        <v>25</v>
      </c>
      <c r="F32" s="24"/>
      <c r="G32" s="24"/>
      <c r="H32" s="26"/>
      <c r="I32" s="27">
        <v>28</v>
      </c>
      <c r="J32" s="28">
        <v>30000</v>
      </c>
      <c r="K32" s="28">
        <f t="shared" si="6"/>
        <v>840000</v>
      </c>
      <c r="L32" s="27">
        <v>0</v>
      </c>
      <c r="M32" s="28">
        <v>30000</v>
      </c>
      <c r="N32" s="28">
        <f t="shared" si="7"/>
        <v>0</v>
      </c>
      <c r="O32" s="29">
        <f t="shared" si="5"/>
        <v>0</v>
      </c>
    </row>
    <row r="33" spans="2:15" ht="15.75">
      <c r="B33" s="22"/>
      <c r="C33" s="23"/>
      <c r="D33" s="24" t="s">
        <v>26</v>
      </c>
      <c r="E33" s="25" t="s">
        <v>29</v>
      </c>
      <c r="F33" s="24"/>
      <c r="G33" s="24"/>
      <c r="H33" s="26"/>
      <c r="I33" s="27">
        <v>0</v>
      </c>
      <c r="J33" s="28">
        <v>225000</v>
      </c>
      <c r="K33" s="28">
        <f t="shared" si="6"/>
        <v>0</v>
      </c>
      <c r="L33" s="27">
        <v>0</v>
      </c>
      <c r="M33" s="28">
        <v>225000</v>
      </c>
      <c r="N33" s="28">
        <f t="shared" si="7"/>
        <v>0</v>
      </c>
      <c r="O33" s="29"/>
    </row>
    <row r="34" spans="2:15" ht="15.75">
      <c r="B34" s="22"/>
      <c r="C34" s="23"/>
      <c r="D34" s="24"/>
      <c r="E34" s="25"/>
      <c r="F34" s="24"/>
      <c r="G34" s="24"/>
      <c r="H34" s="26"/>
      <c r="I34" s="40"/>
      <c r="J34" s="28"/>
      <c r="K34" s="41"/>
      <c r="L34" s="40"/>
      <c r="M34" s="28"/>
      <c r="N34" s="41"/>
      <c r="O34" s="29"/>
    </row>
    <row r="35" spans="2:15" ht="15.75">
      <c r="B35" s="31"/>
      <c r="C35" s="32">
        <v>3</v>
      </c>
      <c r="D35" s="33" t="s">
        <v>30</v>
      </c>
      <c r="E35" s="42"/>
      <c r="F35" s="42"/>
      <c r="G35" s="42"/>
      <c r="H35" s="43"/>
      <c r="I35" s="36">
        <v>100000</v>
      </c>
      <c r="J35" s="38">
        <v>50000</v>
      </c>
      <c r="K35" s="38">
        <f>I35*J35</f>
        <v>5000000000</v>
      </c>
      <c r="L35" s="36">
        <v>6804</v>
      </c>
      <c r="M35" s="38">
        <v>50000</v>
      </c>
      <c r="N35" s="38">
        <f>L35*M35</f>
        <v>340200000</v>
      </c>
      <c r="O35" s="39">
        <f>N35/K35</f>
        <v>6.8040000000000003E-2</v>
      </c>
    </row>
    <row r="36" spans="2:15" ht="15.75">
      <c r="B36" s="22"/>
      <c r="C36" s="44"/>
      <c r="D36" s="45"/>
      <c r="E36" s="24"/>
      <c r="F36" s="24"/>
      <c r="G36" s="24"/>
      <c r="H36" s="26"/>
      <c r="I36" s="46"/>
      <c r="J36" s="28"/>
      <c r="K36" s="41"/>
      <c r="L36" s="46"/>
      <c r="M36" s="28"/>
      <c r="N36" s="41"/>
      <c r="O36" s="29"/>
    </row>
    <row r="37" spans="2:15" ht="15.75">
      <c r="B37" s="31"/>
      <c r="C37" s="32">
        <v>4</v>
      </c>
      <c r="D37" s="33" t="s">
        <v>31</v>
      </c>
      <c r="E37" s="34"/>
      <c r="F37" s="34"/>
      <c r="G37" s="34"/>
      <c r="H37" s="35"/>
      <c r="I37" s="36">
        <v>6000000</v>
      </c>
      <c r="J37" s="37"/>
      <c r="K37" s="38">
        <f>+K38+K41</f>
        <v>727309900000</v>
      </c>
      <c r="L37" s="36">
        <f>L38+L41</f>
        <v>268498</v>
      </c>
      <c r="M37" s="37"/>
      <c r="N37" s="38">
        <f>+N38+N41</f>
        <v>31460000000</v>
      </c>
      <c r="O37" s="39">
        <f t="shared" ref="O37:O43" si="8">N37/K37</f>
        <v>4.3255289114035159E-2</v>
      </c>
    </row>
    <row r="38" spans="2:15" ht="15.75">
      <c r="B38" s="22"/>
      <c r="C38" s="23"/>
      <c r="D38" s="47" t="s">
        <v>10</v>
      </c>
      <c r="E38" s="45" t="s">
        <v>32</v>
      </c>
      <c r="F38" s="24"/>
      <c r="G38" s="24"/>
      <c r="H38" s="26"/>
      <c r="I38" s="48">
        <v>4726901</v>
      </c>
      <c r="J38" s="49"/>
      <c r="K38" s="50">
        <f t="shared" ref="K38:L38" si="9">SUM(K39:K40)</f>
        <v>472690100000</v>
      </c>
      <c r="L38" s="48">
        <f t="shared" si="9"/>
        <v>222396</v>
      </c>
      <c r="M38" s="49"/>
      <c r="N38" s="50">
        <f>SUM(N39:N40)</f>
        <v>22239600000</v>
      </c>
      <c r="O38" s="29">
        <f t="shared" si="8"/>
        <v>4.7049007372906688E-2</v>
      </c>
    </row>
    <row r="39" spans="2:15" ht="15.75">
      <c r="B39" s="22"/>
      <c r="C39" s="23"/>
      <c r="D39" s="24"/>
      <c r="E39" s="24" t="s">
        <v>33</v>
      </c>
      <c r="F39" s="25" t="s">
        <v>34</v>
      </c>
      <c r="G39" s="24"/>
      <c r="H39" s="26"/>
      <c r="I39" s="27">
        <v>2267860</v>
      </c>
      <c r="J39" s="28">
        <v>100000</v>
      </c>
      <c r="K39" s="28">
        <f t="shared" ref="K39:K40" si="10">I39*J39</f>
        <v>226786000000</v>
      </c>
      <c r="L39" s="27">
        <v>61032</v>
      </c>
      <c r="M39" s="28">
        <v>100000</v>
      </c>
      <c r="N39" s="28">
        <f t="shared" ref="N39:N40" si="11">L39*M39</f>
        <v>6103200000</v>
      </c>
      <c r="O39" s="29">
        <f t="shared" si="8"/>
        <v>2.6911714126974327E-2</v>
      </c>
    </row>
    <row r="40" spans="2:15" ht="15.75">
      <c r="B40" s="22"/>
      <c r="C40" s="23"/>
      <c r="D40" s="24"/>
      <c r="E40" s="24" t="s">
        <v>35</v>
      </c>
      <c r="F40" s="25" t="s">
        <v>36</v>
      </c>
      <c r="G40" s="24"/>
      <c r="H40" s="26"/>
      <c r="I40" s="27">
        <v>2459041</v>
      </c>
      <c r="J40" s="28">
        <v>100000</v>
      </c>
      <c r="K40" s="28">
        <f t="shared" si="10"/>
        <v>245904100000</v>
      </c>
      <c r="L40" s="27">
        <v>161364</v>
      </c>
      <c r="M40" s="28">
        <v>100000</v>
      </c>
      <c r="N40" s="28">
        <f t="shared" si="11"/>
        <v>16136400000</v>
      </c>
      <c r="O40" s="29">
        <f t="shared" si="8"/>
        <v>6.5620703355495094E-2</v>
      </c>
    </row>
    <row r="41" spans="2:15" ht="15.75">
      <c r="B41" s="22"/>
      <c r="C41" s="23"/>
      <c r="D41" s="47" t="s">
        <v>12</v>
      </c>
      <c r="E41" s="45" t="s">
        <v>37</v>
      </c>
      <c r="F41" s="24"/>
      <c r="G41" s="24"/>
      <c r="H41" s="26"/>
      <c r="I41" s="48">
        <v>1273099</v>
      </c>
      <c r="J41" s="49"/>
      <c r="K41" s="50">
        <f t="shared" ref="K41:L41" si="12">SUM(K42:K43)</f>
        <v>254619800000</v>
      </c>
      <c r="L41" s="48">
        <f t="shared" si="12"/>
        <v>46102</v>
      </c>
      <c r="M41" s="49"/>
      <c r="N41" s="50">
        <f>SUM(N42:N43)</f>
        <v>9220400000</v>
      </c>
      <c r="O41" s="29">
        <f t="shared" si="8"/>
        <v>3.6212423385769688E-2</v>
      </c>
    </row>
    <row r="42" spans="2:15" ht="15.75">
      <c r="B42" s="22"/>
      <c r="C42" s="23"/>
      <c r="D42" s="24"/>
      <c r="E42" s="24" t="s">
        <v>33</v>
      </c>
      <c r="F42" s="25" t="s">
        <v>34</v>
      </c>
      <c r="G42" s="24"/>
      <c r="H42" s="26"/>
      <c r="I42" s="27">
        <v>626781</v>
      </c>
      <c r="J42" s="28">
        <v>200000</v>
      </c>
      <c r="K42" s="28">
        <f t="shared" ref="K42:K43" si="13">I42*J42</f>
        <v>125356200000</v>
      </c>
      <c r="L42" s="27">
        <v>6578</v>
      </c>
      <c r="M42" s="28">
        <v>200000</v>
      </c>
      <c r="N42" s="28">
        <f t="shared" ref="N42:N43" si="14">L42*M42</f>
        <v>1315600000</v>
      </c>
      <c r="O42" s="29">
        <f t="shared" si="8"/>
        <v>1.0494893750767812E-2</v>
      </c>
    </row>
    <row r="43" spans="2:15" ht="15.75">
      <c r="B43" s="22"/>
      <c r="C43" s="23"/>
      <c r="D43" s="24"/>
      <c r="E43" s="24" t="s">
        <v>35</v>
      </c>
      <c r="F43" s="25" t="s">
        <v>36</v>
      </c>
      <c r="G43" s="24"/>
      <c r="H43" s="26"/>
      <c r="I43" s="27">
        <v>646318</v>
      </c>
      <c r="J43" s="28">
        <v>200000</v>
      </c>
      <c r="K43" s="28">
        <f t="shared" si="13"/>
        <v>129263600000</v>
      </c>
      <c r="L43" s="27">
        <v>39524</v>
      </c>
      <c r="M43" s="28">
        <v>200000</v>
      </c>
      <c r="N43" s="28">
        <f t="shared" si="14"/>
        <v>7904800000</v>
      </c>
      <c r="O43" s="29">
        <f t="shared" si="8"/>
        <v>6.1152559575936301E-2</v>
      </c>
    </row>
    <row r="44" spans="2:15" ht="15.75">
      <c r="B44" s="51"/>
      <c r="C44" s="52"/>
      <c r="D44" s="53"/>
      <c r="E44" s="53"/>
      <c r="F44" s="54"/>
      <c r="G44" s="53"/>
      <c r="H44" s="55"/>
      <c r="I44" s="56"/>
      <c r="J44" s="57"/>
      <c r="K44" s="58"/>
      <c r="L44" s="56"/>
      <c r="M44" s="57"/>
      <c r="N44" s="58"/>
      <c r="O44" s="59"/>
    </row>
    <row r="45" spans="2:15" ht="15.75">
      <c r="B45" s="60"/>
      <c r="C45" s="61">
        <v>5</v>
      </c>
      <c r="D45" s="62" t="s">
        <v>38</v>
      </c>
      <c r="E45" s="63"/>
      <c r="F45" s="63"/>
      <c r="G45" s="63"/>
      <c r="H45" s="64"/>
      <c r="I45" s="65">
        <v>6000000</v>
      </c>
      <c r="J45" s="66"/>
      <c r="K45" s="65">
        <f>SUM(K46,K47)</f>
        <v>411586320000</v>
      </c>
      <c r="L45" s="65">
        <f>SUM(L46:L47)</f>
        <v>262184</v>
      </c>
      <c r="M45" s="66"/>
      <c r="N45" s="65">
        <f>SUM(N46,N47)</f>
        <v>17547120000</v>
      </c>
      <c r="O45" s="67">
        <f t="shared" ref="O45:O47" si="15">N45/K45</f>
        <v>4.2632903834121598E-2</v>
      </c>
    </row>
    <row r="46" spans="2:15" ht="15.75">
      <c r="B46" s="22"/>
      <c r="C46" s="23"/>
      <c r="D46" s="24" t="s">
        <v>10</v>
      </c>
      <c r="E46" s="25" t="s">
        <v>39</v>
      </c>
      <c r="F46" s="24"/>
      <c r="G46" s="24"/>
      <c r="H46" s="26"/>
      <c r="I46" s="48">
        <v>4710342</v>
      </c>
      <c r="J46" s="28">
        <v>60000</v>
      </c>
      <c r="K46" s="27">
        <f t="shared" ref="K46:K47" si="16">I46*J46</f>
        <v>282620520000</v>
      </c>
      <c r="L46" s="27">
        <v>216782</v>
      </c>
      <c r="M46" s="28">
        <v>60000</v>
      </c>
      <c r="N46" s="28">
        <f t="shared" ref="N46:N47" si="17">L46*M46</f>
        <v>13006920000</v>
      </c>
      <c r="O46" s="29">
        <f t="shared" si="15"/>
        <v>4.6022560569911906E-2</v>
      </c>
    </row>
    <row r="47" spans="2:15" ht="15.75">
      <c r="B47" s="22"/>
      <c r="C47" s="23"/>
      <c r="D47" s="24" t="s">
        <v>12</v>
      </c>
      <c r="E47" s="25" t="s">
        <v>40</v>
      </c>
      <c r="F47" s="24"/>
      <c r="G47" s="24"/>
      <c r="H47" s="26"/>
      <c r="I47" s="27">
        <v>1289658</v>
      </c>
      <c r="J47" s="28">
        <v>100000</v>
      </c>
      <c r="K47" s="28">
        <f t="shared" si="16"/>
        <v>128965800000</v>
      </c>
      <c r="L47" s="27">
        <v>45402</v>
      </c>
      <c r="M47" s="28">
        <v>100000</v>
      </c>
      <c r="N47" s="28">
        <f t="shared" si="17"/>
        <v>4540200000</v>
      </c>
      <c r="O47" s="29">
        <f t="shared" si="15"/>
        <v>3.5204682171552461E-2</v>
      </c>
    </row>
    <row r="48" spans="2:15" ht="15.75">
      <c r="B48" s="22"/>
      <c r="C48" s="23"/>
      <c r="D48" s="24"/>
      <c r="E48" s="25"/>
      <c r="F48" s="24"/>
      <c r="G48" s="24"/>
      <c r="H48" s="26"/>
      <c r="I48" s="27"/>
      <c r="J48" s="28"/>
      <c r="K48" s="28"/>
      <c r="L48" s="27"/>
      <c r="M48" s="28"/>
      <c r="N48" s="28"/>
      <c r="O48" s="29"/>
    </row>
    <row r="49" spans="2:15" ht="15.75">
      <c r="B49" s="31"/>
      <c r="C49" s="32">
        <v>6</v>
      </c>
      <c r="D49" s="33" t="s">
        <v>41</v>
      </c>
      <c r="E49" s="34"/>
      <c r="F49" s="34"/>
      <c r="G49" s="34"/>
      <c r="H49" s="35"/>
      <c r="I49" s="36">
        <v>1500000</v>
      </c>
      <c r="J49" s="37"/>
      <c r="K49" s="38">
        <f t="shared" ref="K49:L49" si="18">SUM(K50:K51)</f>
        <v>43861750000</v>
      </c>
      <c r="L49" s="36">
        <f t="shared" si="18"/>
        <v>68032</v>
      </c>
      <c r="M49" s="37"/>
      <c r="N49" s="38">
        <f>SUM(N50:N51)</f>
        <v>1874600000</v>
      </c>
      <c r="O49" s="39">
        <f t="shared" ref="O49:O51" si="19">N49/K49</f>
        <v>4.2738832809908409E-2</v>
      </c>
    </row>
    <row r="50" spans="2:15" ht="15.75">
      <c r="B50" s="22"/>
      <c r="C50" s="23"/>
      <c r="D50" s="24" t="s">
        <v>10</v>
      </c>
      <c r="E50" s="25" t="s">
        <v>39</v>
      </c>
      <c r="F50" s="24"/>
      <c r="G50" s="24"/>
      <c r="H50" s="26"/>
      <c r="I50" s="27">
        <v>1245530</v>
      </c>
      <c r="J50" s="28">
        <v>25000</v>
      </c>
      <c r="K50" s="28">
        <f t="shared" ref="K50:K51" si="20">I50*J50</f>
        <v>31138250000</v>
      </c>
      <c r="L50" s="27">
        <v>61080</v>
      </c>
      <c r="M50" s="28">
        <v>25000</v>
      </c>
      <c r="N50" s="28">
        <f t="shared" ref="N50:N51" si="21">L50*M50</f>
        <v>1527000000</v>
      </c>
      <c r="O50" s="29">
        <f t="shared" si="19"/>
        <v>4.9039364768411843E-2</v>
      </c>
    </row>
    <row r="51" spans="2:15" ht="15.75">
      <c r="B51" s="22"/>
      <c r="C51" s="23"/>
      <c r="D51" s="24" t="s">
        <v>12</v>
      </c>
      <c r="E51" s="25" t="s">
        <v>40</v>
      </c>
      <c r="F51" s="24"/>
      <c r="G51" s="24"/>
      <c r="H51" s="26"/>
      <c r="I51" s="27">
        <v>254470</v>
      </c>
      <c r="J51" s="28">
        <v>50000</v>
      </c>
      <c r="K51" s="28">
        <f t="shared" si="20"/>
        <v>12723500000</v>
      </c>
      <c r="L51" s="27">
        <v>6952</v>
      </c>
      <c r="M51" s="28">
        <v>50000</v>
      </c>
      <c r="N51" s="28">
        <f t="shared" si="21"/>
        <v>347600000</v>
      </c>
      <c r="O51" s="29">
        <f t="shared" si="19"/>
        <v>2.7319526859747711E-2</v>
      </c>
    </row>
    <row r="52" spans="2:15" ht="15.75">
      <c r="B52" s="22"/>
      <c r="C52" s="23"/>
      <c r="D52" s="24"/>
      <c r="E52" s="25"/>
      <c r="F52" s="24"/>
      <c r="G52" s="24"/>
      <c r="H52" s="26"/>
      <c r="I52" s="27"/>
      <c r="J52" s="49"/>
      <c r="K52" s="41"/>
      <c r="L52" s="27"/>
      <c r="M52" s="49"/>
      <c r="N52" s="41"/>
      <c r="O52" s="29"/>
    </row>
    <row r="53" spans="2:15" ht="15.75">
      <c r="B53" s="31"/>
      <c r="C53" s="32">
        <v>7</v>
      </c>
      <c r="D53" s="33" t="s">
        <v>42</v>
      </c>
      <c r="E53" s="34"/>
      <c r="F53" s="34"/>
      <c r="G53" s="34"/>
      <c r="H53" s="35"/>
      <c r="I53" s="36">
        <v>75000</v>
      </c>
      <c r="J53" s="37"/>
      <c r="K53" s="38">
        <f t="shared" ref="K53:L53" si="22">SUM(K54:K55)</f>
        <v>5024800000</v>
      </c>
      <c r="L53" s="36">
        <f t="shared" si="22"/>
        <v>5503</v>
      </c>
      <c r="M53" s="37"/>
      <c r="N53" s="38">
        <f>SUM(N54:N55)</f>
        <v>382340000</v>
      </c>
      <c r="O53" s="39">
        <f t="shared" ref="O53:O55" si="23">N53/K53</f>
        <v>7.6090590670275432E-2</v>
      </c>
    </row>
    <row r="54" spans="2:15" ht="15.75">
      <c r="B54" s="22"/>
      <c r="C54" s="23"/>
      <c r="D54" s="24" t="s">
        <v>10</v>
      </c>
      <c r="E54" s="25" t="s">
        <v>39</v>
      </c>
      <c r="F54" s="24"/>
      <c r="G54" s="24"/>
      <c r="H54" s="26"/>
      <c r="I54" s="27">
        <v>61880</v>
      </c>
      <c r="J54" s="28">
        <v>60000</v>
      </c>
      <c r="K54" s="28">
        <f t="shared" ref="K54:K55" si="24">I54*J54</f>
        <v>3712800000</v>
      </c>
      <c r="L54" s="27">
        <v>4199</v>
      </c>
      <c r="M54" s="28">
        <v>60000</v>
      </c>
      <c r="N54" s="28">
        <f t="shared" ref="N54:N55" si="25">L54*M54</f>
        <v>251940000</v>
      </c>
      <c r="O54" s="29">
        <f t="shared" si="23"/>
        <v>6.7857142857142852E-2</v>
      </c>
    </row>
    <row r="55" spans="2:15" ht="15.75">
      <c r="B55" s="22"/>
      <c r="C55" s="23"/>
      <c r="D55" s="24" t="s">
        <v>12</v>
      </c>
      <c r="E55" s="25" t="s">
        <v>40</v>
      </c>
      <c r="F55" s="24"/>
      <c r="G55" s="24"/>
      <c r="H55" s="26"/>
      <c r="I55" s="27">
        <v>13120</v>
      </c>
      <c r="J55" s="28">
        <v>100000</v>
      </c>
      <c r="K55" s="28">
        <f t="shared" si="24"/>
        <v>1312000000</v>
      </c>
      <c r="L55" s="27">
        <v>1304</v>
      </c>
      <c r="M55" s="28">
        <v>100000</v>
      </c>
      <c r="N55" s="28">
        <f t="shared" si="25"/>
        <v>130400000</v>
      </c>
      <c r="O55" s="29">
        <f t="shared" si="23"/>
        <v>9.9390243902439029E-2</v>
      </c>
    </row>
    <row r="56" spans="2:15" ht="15.75">
      <c r="B56" s="22"/>
      <c r="C56" s="23"/>
      <c r="D56" s="24"/>
      <c r="E56" s="25"/>
      <c r="F56" s="24"/>
      <c r="G56" s="24"/>
      <c r="H56" s="26"/>
      <c r="I56" s="27"/>
      <c r="J56" s="49"/>
      <c r="K56" s="41"/>
      <c r="L56" s="27"/>
      <c r="M56" s="49"/>
      <c r="N56" s="41"/>
      <c r="O56" s="29"/>
    </row>
    <row r="57" spans="2:15" ht="15.75">
      <c r="B57" s="31"/>
      <c r="C57" s="32">
        <v>8</v>
      </c>
      <c r="D57" s="33" t="s">
        <v>43</v>
      </c>
      <c r="E57" s="34"/>
      <c r="F57" s="34"/>
      <c r="G57" s="34"/>
      <c r="H57" s="35"/>
      <c r="I57" s="36">
        <v>2400000</v>
      </c>
      <c r="J57" s="37"/>
      <c r="K57" s="38">
        <f t="shared" ref="K57:L57" si="26">+K58+K61</f>
        <v>607771500000</v>
      </c>
      <c r="L57" s="36">
        <f t="shared" si="26"/>
        <v>105058</v>
      </c>
      <c r="M57" s="37"/>
      <c r="N57" s="38">
        <f>+N58+N61</f>
        <v>26296050000</v>
      </c>
      <c r="O57" s="39">
        <f t="shared" ref="O57:O63" si="27">N57/K57</f>
        <v>4.3266342696227117E-2</v>
      </c>
    </row>
    <row r="58" spans="2:15" ht="15.75">
      <c r="B58" s="22"/>
      <c r="C58" s="23"/>
      <c r="D58" s="47" t="s">
        <v>10</v>
      </c>
      <c r="E58" s="45" t="s">
        <v>32</v>
      </c>
      <c r="F58" s="24"/>
      <c r="G58" s="24"/>
      <c r="H58" s="26"/>
      <c r="I58" s="48">
        <v>1948190</v>
      </c>
      <c r="J58" s="49"/>
      <c r="K58" s="50">
        <f t="shared" ref="K58:L58" si="28">K59+K60</f>
        <v>438342750000</v>
      </c>
      <c r="L58" s="48">
        <f t="shared" si="28"/>
        <v>87338</v>
      </c>
      <c r="M58" s="49"/>
      <c r="N58" s="50">
        <f>N59+N60</f>
        <v>19651050000</v>
      </c>
      <c r="O58" s="29">
        <f t="shared" si="27"/>
        <v>4.4830329690635926E-2</v>
      </c>
    </row>
    <row r="59" spans="2:15" ht="15.75">
      <c r="B59" s="22"/>
      <c r="C59" s="23"/>
      <c r="D59" s="24"/>
      <c r="E59" s="24" t="s">
        <v>33</v>
      </c>
      <c r="F59" s="25" t="s">
        <v>34</v>
      </c>
      <c r="G59" s="24"/>
      <c r="H59" s="26"/>
      <c r="I59" s="27">
        <v>1619192</v>
      </c>
      <c r="J59" s="28">
        <v>225000</v>
      </c>
      <c r="K59" s="28">
        <f t="shared" ref="K59:K60" si="29">I59*J59</f>
        <v>364318200000</v>
      </c>
      <c r="L59" s="27">
        <v>61015</v>
      </c>
      <c r="M59" s="28">
        <v>225000</v>
      </c>
      <c r="N59" s="28">
        <f t="shared" ref="N59:N60" si="30">L59*M59</f>
        <v>13728375000</v>
      </c>
      <c r="O59" s="29">
        <f t="shared" si="27"/>
        <v>3.7682374912919529E-2</v>
      </c>
    </row>
    <row r="60" spans="2:15" ht="15.75">
      <c r="B60" s="22"/>
      <c r="C60" s="23"/>
      <c r="D60" s="24"/>
      <c r="E60" s="24" t="s">
        <v>35</v>
      </c>
      <c r="F60" s="25" t="s">
        <v>44</v>
      </c>
      <c r="G60" s="24"/>
      <c r="H60" s="26"/>
      <c r="I60" s="27">
        <v>328998</v>
      </c>
      <c r="J60" s="28">
        <v>225000</v>
      </c>
      <c r="K60" s="28">
        <f t="shared" si="29"/>
        <v>74024550000</v>
      </c>
      <c r="L60" s="27">
        <v>26323</v>
      </c>
      <c r="M60" s="28">
        <v>225000</v>
      </c>
      <c r="N60" s="28">
        <f t="shared" si="30"/>
        <v>5922675000</v>
      </c>
      <c r="O60" s="29">
        <f t="shared" si="27"/>
        <v>8.0009604921610467E-2</v>
      </c>
    </row>
    <row r="61" spans="2:15" ht="15.75">
      <c r="B61" s="22"/>
      <c r="C61" s="23"/>
      <c r="D61" s="47" t="s">
        <v>12</v>
      </c>
      <c r="E61" s="45" t="s">
        <v>40</v>
      </c>
      <c r="F61" s="24"/>
      <c r="G61" s="24"/>
      <c r="H61" s="26"/>
      <c r="I61" s="48">
        <v>451810</v>
      </c>
      <c r="J61" s="49"/>
      <c r="K61" s="48">
        <f t="shared" ref="K61:L61" si="31">K62+K63</f>
        <v>169428750000</v>
      </c>
      <c r="L61" s="48">
        <f t="shared" si="31"/>
        <v>17720</v>
      </c>
      <c r="M61" s="49"/>
      <c r="N61" s="48">
        <f>N62+N63</f>
        <v>6645000000</v>
      </c>
      <c r="O61" s="29">
        <f t="shared" si="27"/>
        <v>3.9220026117173151E-2</v>
      </c>
    </row>
    <row r="62" spans="2:15" ht="15.75">
      <c r="B62" s="22"/>
      <c r="C62" s="23"/>
      <c r="D62" s="24"/>
      <c r="E62" s="24" t="s">
        <v>33</v>
      </c>
      <c r="F62" s="25" t="s">
        <v>34</v>
      </c>
      <c r="G62" s="24"/>
      <c r="H62" s="26"/>
      <c r="I62" s="27">
        <v>319858</v>
      </c>
      <c r="J62" s="28">
        <v>375000</v>
      </c>
      <c r="K62" s="28">
        <f t="shared" ref="K62:K63" si="32">I62*J62</f>
        <v>119946750000</v>
      </c>
      <c r="L62" s="27">
        <v>6573</v>
      </c>
      <c r="M62" s="28">
        <v>375000</v>
      </c>
      <c r="N62" s="28">
        <f t="shared" ref="N62:N63" si="33">L62*M62</f>
        <v>2464875000</v>
      </c>
      <c r="O62" s="29">
        <f t="shared" si="27"/>
        <v>2.0549743948877316E-2</v>
      </c>
    </row>
    <row r="63" spans="2:15" ht="15.75">
      <c r="B63" s="22"/>
      <c r="C63" s="23"/>
      <c r="D63" s="24"/>
      <c r="E63" s="24" t="s">
        <v>35</v>
      </c>
      <c r="F63" s="25" t="s">
        <v>44</v>
      </c>
      <c r="G63" s="24"/>
      <c r="H63" s="26"/>
      <c r="I63" s="27">
        <v>131952</v>
      </c>
      <c r="J63" s="28">
        <v>375000</v>
      </c>
      <c r="K63" s="28">
        <f t="shared" si="32"/>
        <v>49482000000</v>
      </c>
      <c r="L63" s="27">
        <v>11147</v>
      </c>
      <c r="M63" s="28">
        <v>375000</v>
      </c>
      <c r="N63" s="28">
        <f t="shared" si="33"/>
        <v>4180125000</v>
      </c>
      <c r="O63" s="29">
        <f t="shared" si="27"/>
        <v>8.4477688856553892E-2</v>
      </c>
    </row>
    <row r="64" spans="2:15" ht="15.75">
      <c r="B64" s="22"/>
      <c r="C64" s="23"/>
      <c r="D64" s="24"/>
      <c r="E64" s="24"/>
      <c r="F64" s="25"/>
      <c r="G64" s="24"/>
      <c r="H64" s="26"/>
      <c r="I64" s="27"/>
      <c r="J64" s="49"/>
      <c r="K64" s="41"/>
      <c r="L64" s="27"/>
      <c r="M64" s="49"/>
      <c r="N64" s="41"/>
      <c r="O64" s="29"/>
    </row>
    <row r="65" spans="2:15" ht="15.75">
      <c r="B65" s="31"/>
      <c r="C65" s="32">
        <v>9</v>
      </c>
      <c r="D65" s="33" t="s">
        <v>45</v>
      </c>
      <c r="E65" s="34"/>
      <c r="F65" s="34"/>
      <c r="G65" s="34"/>
      <c r="H65" s="35"/>
      <c r="I65" s="36">
        <v>250000</v>
      </c>
      <c r="J65" s="37"/>
      <c r="K65" s="38">
        <f t="shared" ref="K65:L65" si="34">SUM(K66:K67)</f>
        <v>50337200000</v>
      </c>
      <c r="L65" s="36">
        <f t="shared" si="34"/>
        <v>14306</v>
      </c>
      <c r="M65" s="37"/>
      <c r="N65" s="38">
        <f>SUM(N66:N67)</f>
        <v>2855700000</v>
      </c>
      <c r="O65" s="39">
        <f t="shared" ref="O65:O67" si="35">N65/K65</f>
        <v>5.6731403415366768E-2</v>
      </c>
    </row>
    <row r="66" spans="2:15" ht="15.75">
      <c r="B66" s="22"/>
      <c r="C66" s="23"/>
      <c r="D66" s="24" t="s">
        <v>10</v>
      </c>
      <c r="E66" s="25" t="s">
        <v>46</v>
      </c>
      <c r="F66" s="24"/>
      <c r="G66" s="24"/>
      <c r="H66" s="26"/>
      <c r="I66" s="27">
        <v>121628</v>
      </c>
      <c r="J66" s="28">
        <v>150000</v>
      </c>
      <c r="K66" s="28">
        <f t="shared" ref="K66:K67" si="36">I66*J66</f>
        <v>18244200000</v>
      </c>
      <c r="L66" s="27">
        <v>7208</v>
      </c>
      <c r="M66" s="28">
        <v>150000</v>
      </c>
      <c r="N66" s="28">
        <f t="shared" ref="N66:N67" si="37">L66*M66</f>
        <v>1081200000</v>
      </c>
      <c r="O66" s="29">
        <f t="shared" si="35"/>
        <v>5.9262669779984872E-2</v>
      </c>
    </row>
    <row r="67" spans="2:15" ht="15.75">
      <c r="B67" s="22"/>
      <c r="C67" s="23"/>
      <c r="D67" s="24" t="s">
        <v>12</v>
      </c>
      <c r="E67" s="25" t="s">
        <v>40</v>
      </c>
      <c r="F67" s="24"/>
      <c r="G67" s="24"/>
      <c r="H67" s="26"/>
      <c r="I67" s="27">
        <v>128372</v>
      </c>
      <c r="J67" s="28">
        <v>250000</v>
      </c>
      <c r="K67" s="28">
        <f t="shared" si="36"/>
        <v>32093000000</v>
      </c>
      <c r="L67" s="27">
        <v>7098</v>
      </c>
      <c r="M67" s="28">
        <v>250000</v>
      </c>
      <c r="N67" s="28">
        <f t="shared" si="37"/>
        <v>1774500000</v>
      </c>
      <c r="O67" s="29">
        <f t="shared" si="35"/>
        <v>5.5292431371327083E-2</v>
      </c>
    </row>
    <row r="68" spans="2:15" ht="15.75">
      <c r="B68" s="22"/>
      <c r="C68" s="23"/>
      <c r="D68" s="24"/>
      <c r="E68" s="25"/>
      <c r="F68" s="24"/>
      <c r="G68" s="24"/>
      <c r="H68" s="26"/>
      <c r="I68" s="46"/>
      <c r="J68" s="49"/>
      <c r="K68" s="41"/>
      <c r="L68" s="46"/>
      <c r="M68" s="49"/>
      <c r="N68" s="41"/>
      <c r="O68" s="29"/>
    </row>
    <row r="69" spans="2:15" ht="15.75">
      <c r="B69" s="31"/>
      <c r="C69" s="32">
        <v>10</v>
      </c>
      <c r="D69" s="33" t="s">
        <v>47</v>
      </c>
      <c r="E69" s="34"/>
      <c r="F69" s="34"/>
      <c r="G69" s="34"/>
      <c r="H69" s="35"/>
      <c r="I69" s="36">
        <v>0</v>
      </c>
      <c r="J69" s="37"/>
      <c r="K69" s="38">
        <f t="shared" ref="K69:L69" si="38">+K70+K73</f>
        <v>0</v>
      </c>
      <c r="L69" s="36">
        <f t="shared" si="38"/>
        <v>0</v>
      </c>
      <c r="M69" s="37"/>
      <c r="N69" s="38">
        <f>+N70+N73</f>
        <v>0</v>
      </c>
      <c r="O69" s="39" t="e">
        <f t="shared" ref="O69:O75" si="39">N69/K69</f>
        <v>#DIV/0!</v>
      </c>
    </row>
    <row r="70" spans="2:15" ht="15.75">
      <c r="B70" s="22"/>
      <c r="C70" s="23"/>
      <c r="D70" s="47" t="s">
        <v>10</v>
      </c>
      <c r="E70" s="45" t="s">
        <v>46</v>
      </c>
      <c r="F70" s="24"/>
      <c r="G70" s="24"/>
      <c r="H70" s="26"/>
      <c r="I70" s="48">
        <v>0</v>
      </c>
      <c r="J70" s="49"/>
      <c r="K70" s="50">
        <f t="shared" ref="K70:L70" si="40">SUM(K71:K72)</f>
        <v>0</v>
      </c>
      <c r="L70" s="48">
        <f t="shared" si="40"/>
        <v>0</v>
      </c>
      <c r="M70" s="49"/>
      <c r="N70" s="50">
        <f>SUM(N71:N72)</f>
        <v>0</v>
      </c>
      <c r="O70" s="29" t="e">
        <f t="shared" si="39"/>
        <v>#DIV/0!</v>
      </c>
    </row>
    <row r="71" spans="2:15" ht="15.75">
      <c r="B71" s="22"/>
      <c r="C71" s="23"/>
      <c r="D71" s="24"/>
      <c r="E71" s="24" t="s">
        <v>33</v>
      </c>
      <c r="F71" s="25" t="s">
        <v>34</v>
      </c>
      <c r="G71" s="24"/>
      <c r="H71" s="26"/>
      <c r="I71" s="27">
        <v>0</v>
      </c>
      <c r="J71" s="28">
        <v>100000</v>
      </c>
      <c r="K71" s="28">
        <f t="shared" ref="K71:K72" si="41">I71*J71</f>
        <v>0</v>
      </c>
      <c r="L71" s="27">
        <f>'[1]L. MAT 09 STNKLBN'!G16</f>
        <v>0</v>
      </c>
      <c r="M71" s="28">
        <v>100000</v>
      </c>
      <c r="N71" s="28">
        <f t="shared" ref="N71:N72" si="42">L71*M71</f>
        <v>0</v>
      </c>
      <c r="O71" s="29" t="e">
        <f t="shared" si="39"/>
        <v>#DIV/0!</v>
      </c>
    </row>
    <row r="72" spans="2:15" ht="15.75">
      <c r="B72" s="22"/>
      <c r="C72" s="23"/>
      <c r="D72" s="24"/>
      <c r="E72" s="24" t="s">
        <v>35</v>
      </c>
      <c r="F72" s="25" t="s">
        <v>36</v>
      </c>
      <c r="G72" s="24"/>
      <c r="H72" s="26"/>
      <c r="I72" s="27">
        <v>0</v>
      </c>
      <c r="J72" s="28">
        <v>100000</v>
      </c>
      <c r="K72" s="28">
        <f t="shared" si="41"/>
        <v>0</v>
      </c>
      <c r="L72" s="27">
        <f>'[1]L. MAT 09 STNKLBN'!I16</f>
        <v>0</v>
      </c>
      <c r="M72" s="28">
        <v>100000</v>
      </c>
      <c r="N72" s="28">
        <f t="shared" si="42"/>
        <v>0</v>
      </c>
      <c r="O72" s="29" t="e">
        <f t="shared" si="39"/>
        <v>#DIV/0!</v>
      </c>
    </row>
    <row r="73" spans="2:15" ht="15.75">
      <c r="B73" s="22"/>
      <c r="C73" s="23"/>
      <c r="D73" s="47" t="s">
        <v>12</v>
      </c>
      <c r="E73" s="45" t="s">
        <v>40</v>
      </c>
      <c r="F73" s="24"/>
      <c r="G73" s="24"/>
      <c r="H73" s="26"/>
      <c r="I73" s="48">
        <v>0</v>
      </c>
      <c r="J73" s="49"/>
      <c r="K73" s="50">
        <f t="shared" ref="K73:L73" si="43">SUM(K74:K75)</f>
        <v>0</v>
      </c>
      <c r="L73" s="48">
        <f t="shared" si="43"/>
        <v>0</v>
      </c>
      <c r="M73" s="49"/>
      <c r="N73" s="50">
        <f>SUM(N74:N75)</f>
        <v>0</v>
      </c>
      <c r="O73" s="29" t="e">
        <f t="shared" si="39"/>
        <v>#DIV/0!</v>
      </c>
    </row>
    <row r="74" spans="2:15" ht="15.75">
      <c r="B74" s="22"/>
      <c r="C74" s="23"/>
      <c r="D74" s="24"/>
      <c r="E74" s="24" t="s">
        <v>33</v>
      </c>
      <c r="F74" s="25" t="s">
        <v>34</v>
      </c>
      <c r="G74" s="24"/>
      <c r="H74" s="26"/>
      <c r="I74" s="27">
        <v>0</v>
      </c>
      <c r="J74" s="28">
        <v>200000</v>
      </c>
      <c r="K74" s="28">
        <f t="shared" ref="K74:K75" si="44">I74*J74</f>
        <v>0</v>
      </c>
      <c r="L74" s="27">
        <f>'[1]L. MAT 09 STNKLBN'!H16</f>
        <v>0</v>
      </c>
      <c r="M74" s="28">
        <v>200000</v>
      </c>
      <c r="N74" s="28">
        <f t="shared" ref="N74:N75" si="45">L74*M74</f>
        <v>0</v>
      </c>
      <c r="O74" s="29" t="e">
        <f t="shared" si="39"/>
        <v>#DIV/0!</v>
      </c>
    </row>
    <row r="75" spans="2:15" ht="15.75">
      <c r="B75" s="22"/>
      <c r="C75" s="23"/>
      <c r="D75" s="24"/>
      <c r="E75" s="24" t="s">
        <v>35</v>
      </c>
      <c r="F75" s="25" t="s">
        <v>36</v>
      </c>
      <c r="G75" s="24"/>
      <c r="H75" s="26"/>
      <c r="I75" s="27">
        <v>0</v>
      </c>
      <c r="J75" s="28">
        <v>200000</v>
      </c>
      <c r="K75" s="28">
        <f t="shared" si="44"/>
        <v>0</v>
      </c>
      <c r="L75" s="27">
        <f>'[1]L. MAT 09 STNKLBN'!J16</f>
        <v>0</v>
      </c>
      <c r="M75" s="28">
        <v>200000</v>
      </c>
      <c r="N75" s="28">
        <f t="shared" si="45"/>
        <v>0</v>
      </c>
      <c r="O75" s="29" t="e">
        <f t="shared" si="39"/>
        <v>#DIV/0!</v>
      </c>
    </row>
    <row r="76" spans="2:15" ht="15.75">
      <c r="B76" s="51"/>
      <c r="C76" s="52"/>
      <c r="D76" s="53"/>
      <c r="E76" s="53"/>
      <c r="F76" s="54"/>
      <c r="G76" s="53"/>
      <c r="H76" s="55"/>
      <c r="I76" s="56"/>
      <c r="J76" s="68"/>
      <c r="K76" s="68"/>
      <c r="L76" s="56"/>
      <c r="M76" s="68"/>
      <c r="N76" s="68"/>
      <c r="O76" s="59"/>
    </row>
    <row r="77" spans="2:15" ht="15.75">
      <c r="B77" s="31"/>
      <c r="C77" s="32">
        <v>11</v>
      </c>
      <c r="D77" s="33" t="s">
        <v>48</v>
      </c>
      <c r="E77" s="42"/>
      <c r="F77" s="34"/>
      <c r="G77" s="34"/>
      <c r="H77" s="35"/>
      <c r="I77" s="36">
        <v>0</v>
      </c>
      <c r="J77" s="37"/>
      <c r="K77" s="38">
        <f t="shared" ref="K77:L77" si="46">K78+K81</f>
        <v>0</v>
      </c>
      <c r="L77" s="36">
        <f t="shared" si="46"/>
        <v>0</v>
      </c>
      <c r="M77" s="37"/>
      <c r="N77" s="38">
        <f>N78+N81</f>
        <v>0</v>
      </c>
      <c r="O77" s="39" t="e">
        <f t="shared" ref="O77:O83" si="47">N77/K77</f>
        <v>#DIV/0!</v>
      </c>
    </row>
    <row r="78" spans="2:15" ht="15.75">
      <c r="B78" s="22"/>
      <c r="C78" s="23"/>
      <c r="D78" s="47" t="s">
        <v>10</v>
      </c>
      <c r="E78" s="45" t="s">
        <v>46</v>
      </c>
      <c r="F78" s="24"/>
      <c r="G78" s="24"/>
      <c r="H78" s="26"/>
      <c r="I78" s="48">
        <v>0</v>
      </c>
      <c r="J78" s="49"/>
      <c r="K78" s="50">
        <f t="shared" ref="K78:L78" si="48">SUM(K79:K80)</f>
        <v>0</v>
      </c>
      <c r="L78" s="48">
        <f t="shared" si="48"/>
        <v>0</v>
      </c>
      <c r="M78" s="49"/>
      <c r="N78" s="50">
        <f>SUM(N79:N80)</f>
        <v>0</v>
      </c>
      <c r="O78" s="29" t="e">
        <f t="shared" si="47"/>
        <v>#DIV/0!</v>
      </c>
    </row>
    <row r="79" spans="2:15" ht="15.75">
      <c r="B79" s="22"/>
      <c r="C79" s="23"/>
      <c r="D79" s="24"/>
      <c r="E79" s="24" t="s">
        <v>33</v>
      </c>
      <c r="F79" s="25" t="s">
        <v>34</v>
      </c>
      <c r="G79" s="24"/>
      <c r="H79" s="26"/>
      <c r="I79" s="27">
        <v>0</v>
      </c>
      <c r="J79" s="28">
        <v>100000</v>
      </c>
      <c r="K79" s="28">
        <f t="shared" ref="K79:K80" si="49">I79*J79</f>
        <v>0</v>
      </c>
      <c r="L79" s="27">
        <f>'[1]L. MAT 10 TNKB LBN'!G16</f>
        <v>0</v>
      </c>
      <c r="M79" s="28">
        <v>100000</v>
      </c>
      <c r="N79" s="28">
        <f t="shared" ref="N79:N80" si="50">L79*M79</f>
        <v>0</v>
      </c>
      <c r="O79" s="29" t="e">
        <f t="shared" si="47"/>
        <v>#DIV/0!</v>
      </c>
    </row>
    <row r="80" spans="2:15" ht="15.75">
      <c r="B80" s="22"/>
      <c r="C80" s="23"/>
      <c r="D80" s="24"/>
      <c r="E80" s="24" t="s">
        <v>35</v>
      </c>
      <c r="F80" s="25" t="s">
        <v>36</v>
      </c>
      <c r="G80" s="24"/>
      <c r="H80" s="26"/>
      <c r="I80" s="27"/>
      <c r="J80" s="28">
        <v>100000</v>
      </c>
      <c r="K80" s="28">
        <f t="shared" si="49"/>
        <v>0</v>
      </c>
      <c r="L80" s="27">
        <f>'[1]L. MAT 10 TNKB LBN'!I16</f>
        <v>0</v>
      </c>
      <c r="M80" s="28">
        <v>100000</v>
      </c>
      <c r="N80" s="28">
        <f t="shared" si="50"/>
        <v>0</v>
      </c>
      <c r="O80" s="29" t="e">
        <f t="shared" si="47"/>
        <v>#DIV/0!</v>
      </c>
    </row>
    <row r="81" spans="2:15" ht="15.75">
      <c r="B81" s="22"/>
      <c r="C81" s="23"/>
      <c r="D81" s="47" t="s">
        <v>12</v>
      </c>
      <c r="E81" s="45" t="s">
        <v>40</v>
      </c>
      <c r="F81" s="24"/>
      <c r="G81" s="24"/>
      <c r="H81" s="26"/>
      <c r="I81" s="48">
        <v>0</v>
      </c>
      <c r="J81" s="49"/>
      <c r="K81" s="50">
        <f t="shared" ref="K81:L81" si="51">SUM(K82:K83)</f>
        <v>0</v>
      </c>
      <c r="L81" s="48">
        <f t="shared" si="51"/>
        <v>0</v>
      </c>
      <c r="M81" s="49"/>
      <c r="N81" s="50">
        <f>SUM(N82:N83)</f>
        <v>0</v>
      </c>
      <c r="O81" s="29" t="e">
        <f t="shared" si="47"/>
        <v>#DIV/0!</v>
      </c>
    </row>
    <row r="82" spans="2:15" ht="15.75">
      <c r="B82" s="22"/>
      <c r="C82" s="23"/>
      <c r="D82" s="24"/>
      <c r="E82" s="24" t="s">
        <v>33</v>
      </c>
      <c r="F82" s="25" t="s">
        <v>34</v>
      </c>
      <c r="G82" s="24"/>
      <c r="H82" s="26"/>
      <c r="I82" s="27">
        <v>0</v>
      </c>
      <c r="J82" s="28">
        <v>200000</v>
      </c>
      <c r="K82" s="28">
        <f t="shared" ref="K82:K83" si="52">I82*J82</f>
        <v>0</v>
      </c>
      <c r="L82" s="27">
        <f>'[1]L. MAT 10 TNKB LBN'!H16</f>
        <v>0</v>
      </c>
      <c r="M82" s="28">
        <v>200000</v>
      </c>
      <c r="N82" s="28">
        <f t="shared" ref="N82:N83" si="53">L82*M82</f>
        <v>0</v>
      </c>
      <c r="O82" s="29" t="e">
        <f t="shared" si="47"/>
        <v>#DIV/0!</v>
      </c>
    </row>
    <row r="83" spans="2:15" ht="15.75">
      <c r="B83" s="22"/>
      <c r="C83" s="23"/>
      <c r="D83" s="24"/>
      <c r="E83" s="24" t="s">
        <v>35</v>
      </c>
      <c r="F83" s="25" t="s">
        <v>36</v>
      </c>
      <c r="G83" s="24"/>
      <c r="H83" s="26"/>
      <c r="I83" s="27">
        <v>0</v>
      </c>
      <c r="J83" s="28">
        <v>200000</v>
      </c>
      <c r="K83" s="28">
        <f t="shared" si="52"/>
        <v>0</v>
      </c>
      <c r="L83" s="27">
        <f>'[1]L. MAT 10 TNKB LBN'!J16</f>
        <v>0</v>
      </c>
      <c r="M83" s="28">
        <v>200000</v>
      </c>
      <c r="N83" s="28">
        <f t="shared" si="53"/>
        <v>0</v>
      </c>
      <c r="O83" s="29" t="e">
        <f t="shared" si="47"/>
        <v>#DIV/0!</v>
      </c>
    </row>
    <row r="84" spans="2:15" ht="15.75">
      <c r="B84" s="22"/>
      <c r="C84" s="23"/>
      <c r="D84" s="24"/>
      <c r="E84" s="25"/>
      <c r="F84" s="24"/>
      <c r="G84" s="24"/>
      <c r="H84" s="26"/>
      <c r="I84" s="27"/>
      <c r="J84" s="49"/>
      <c r="K84" s="41"/>
      <c r="L84" s="27"/>
      <c r="M84" s="49"/>
      <c r="N84" s="41"/>
      <c r="O84" s="29"/>
    </row>
    <row r="85" spans="2:15" ht="15.75">
      <c r="B85" s="31"/>
      <c r="C85" s="32">
        <v>12</v>
      </c>
      <c r="D85" s="33" t="s">
        <v>49</v>
      </c>
      <c r="E85" s="42"/>
      <c r="F85" s="42"/>
      <c r="G85" s="42"/>
      <c r="H85" s="35"/>
      <c r="I85" s="36">
        <v>12000</v>
      </c>
      <c r="J85" s="37"/>
      <c r="K85" s="38">
        <f t="shared" ref="K85:L85" si="54">+K86+K89+K92+K95</f>
        <v>99500000000</v>
      </c>
      <c r="L85" s="36">
        <f t="shared" si="54"/>
        <v>668</v>
      </c>
      <c r="M85" s="37"/>
      <c r="N85" s="38">
        <f>+N86+N89+N92+N95</f>
        <v>5945000000</v>
      </c>
      <c r="O85" s="39">
        <f t="shared" ref="O85:O97" si="55">N85/K85</f>
        <v>5.9748743718592963E-2</v>
      </c>
    </row>
    <row r="86" spans="2:15" ht="15.75">
      <c r="B86" s="22"/>
      <c r="C86" s="23"/>
      <c r="D86" s="47" t="s">
        <v>10</v>
      </c>
      <c r="E86" s="45" t="s">
        <v>50</v>
      </c>
      <c r="F86" s="24"/>
      <c r="G86" s="24"/>
      <c r="H86" s="26"/>
      <c r="I86" s="48">
        <v>1053</v>
      </c>
      <c r="J86" s="49"/>
      <c r="K86" s="50">
        <f t="shared" ref="K86:L86" si="56">SUM(K87:K88)</f>
        <v>16585000000</v>
      </c>
      <c r="L86" s="48">
        <f t="shared" si="56"/>
        <v>76</v>
      </c>
      <c r="M86" s="49"/>
      <c r="N86" s="50">
        <f>SUM(N87:N88)</f>
        <v>1155000000</v>
      </c>
      <c r="O86" s="29">
        <f t="shared" si="55"/>
        <v>6.9641242086222493E-2</v>
      </c>
    </row>
    <row r="87" spans="2:15" ht="15.75">
      <c r="B87" s="22"/>
      <c r="C87" s="23"/>
      <c r="D87" s="24"/>
      <c r="E87" s="24" t="s">
        <v>33</v>
      </c>
      <c r="F87" s="25" t="s">
        <v>51</v>
      </c>
      <c r="G87" s="24"/>
      <c r="H87" s="26"/>
      <c r="I87" s="27">
        <v>158</v>
      </c>
      <c r="J87" s="28">
        <v>20000000</v>
      </c>
      <c r="K87" s="28">
        <f t="shared" ref="K87:K88" si="57">I87*J87</f>
        <v>3160000000</v>
      </c>
      <c r="L87" s="27">
        <v>3</v>
      </c>
      <c r="M87" s="28">
        <v>20000000</v>
      </c>
      <c r="N87" s="28">
        <f t="shared" ref="N87:N88" si="58">L87*M87</f>
        <v>60000000</v>
      </c>
      <c r="O87" s="29">
        <f t="shared" si="55"/>
        <v>1.8987341772151899E-2</v>
      </c>
    </row>
    <row r="88" spans="2:15" ht="15.75">
      <c r="B88" s="22"/>
      <c r="C88" s="23"/>
      <c r="D88" s="24"/>
      <c r="E88" s="24" t="s">
        <v>35</v>
      </c>
      <c r="F88" s="25" t="s">
        <v>52</v>
      </c>
      <c r="G88" s="24"/>
      <c r="H88" s="26"/>
      <c r="I88" s="27">
        <v>895</v>
      </c>
      <c r="J88" s="28">
        <v>15000000</v>
      </c>
      <c r="K88" s="28">
        <f t="shared" si="57"/>
        <v>13425000000</v>
      </c>
      <c r="L88" s="27">
        <v>73</v>
      </c>
      <c r="M88" s="28">
        <v>15000000</v>
      </c>
      <c r="N88" s="28">
        <f t="shared" si="58"/>
        <v>1095000000</v>
      </c>
      <c r="O88" s="29">
        <f t="shared" si="55"/>
        <v>8.1564245810055863E-2</v>
      </c>
    </row>
    <row r="89" spans="2:15" ht="15.75">
      <c r="B89" s="22"/>
      <c r="C89" s="23"/>
      <c r="D89" s="47" t="s">
        <v>12</v>
      </c>
      <c r="E89" s="45" t="s">
        <v>53</v>
      </c>
      <c r="F89" s="24"/>
      <c r="G89" s="24"/>
      <c r="H89" s="26"/>
      <c r="I89" s="48">
        <v>2383</v>
      </c>
      <c r="J89" s="49"/>
      <c r="K89" s="50">
        <f t="shared" ref="K89:L89" si="59">SUM(K90:K91)</f>
        <v>25435000000</v>
      </c>
      <c r="L89" s="48">
        <f t="shared" si="59"/>
        <v>163</v>
      </c>
      <c r="M89" s="49"/>
      <c r="N89" s="50">
        <f>SUM(N90:N91)</f>
        <v>1650000000</v>
      </c>
      <c r="O89" s="29">
        <f t="shared" si="55"/>
        <v>6.4871240416748577E-2</v>
      </c>
    </row>
    <row r="90" spans="2:15" ht="15.75">
      <c r="B90" s="22"/>
      <c r="C90" s="23"/>
      <c r="D90" s="24"/>
      <c r="E90" s="24" t="s">
        <v>33</v>
      </c>
      <c r="F90" s="25" t="s">
        <v>51</v>
      </c>
      <c r="G90" s="24"/>
      <c r="H90" s="26"/>
      <c r="I90" s="27">
        <v>321</v>
      </c>
      <c r="J90" s="28">
        <v>15000000</v>
      </c>
      <c r="K90" s="28">
        <f t="shared" ref="K90:K91" si="60">I90*J90</f>
        <v>4815000000</v>
      </c>
      <c r="L90" s="27">
        <v>4</v>
      </c>
      <c r="M90" s="28">
        <v>15000000</v>
      </c>
      <c r="N90" s="28">
        <f t="shared" ref="N90:N91" si="61">L90*M90</f>
        <v>60000000</v>
      </c>
      <c r="O90" s="29">
        <f t="shared" si="55"/>
        <v>1.2461059190031152E-2</v>
      </c>
    </row>
    <row r="91" spans="2:15" ht="15">
      <c r="B91" s="69"/>
      <c r="C91" s="70"/>
      <c r="D91" s="25"/>
      <c r="E91" s="24" t="s">
        <v>35</v>
      </c>
      <c r="F91" s="25" t="s">
        <v>52</v>
      </c>
      <c r="G91" s="25"/>
      <c r="H91" s="71"/>
      <c r="I91" s="27">
        <v>2062</v>
      </c>
      <c r="J91" s="28">
        <v>10000000</v>
      </c>
      <c r="K91" s="28">
        <f t="shared" si="60"/>
        <v>20620000000</v>
      </c>
      <c r="L91" s="27">
        <v>159</v>
      </c>
      <c r="M91" s="28">
        <v>10000000</v>
      </c>
      <c r="N91" s="28">
        <f t="shared" si="61"/>
        <v>1590000000</v>
      </c>
      <c r="O91" s="29">
        <f t="shared" si="55"/>
        <v>7.7109602327837048E-2</v>
      </c>
    </row>
    <row r="92" spans="2:15" ht="15.75">
      <c r="B92" s="69"/>
      <c r="C92" s="70"/>
      <c r="D92" s="47" t="s">
        <v>14</v>
      </c>
      <c r="E92" s="45" t="s">
        <v>54</v>
      </c>
      <c r="F92" s="25"/>
      <c r="G92" s="25"/>
      <c r="H92" s="71"/>
      <c r="I92" s="48">
        <v>4609</v>
      </c>
      <c r="J92" s="28"/>
      <c r="K92" s="50">
        <f t="shared" ref="K92:L92" si="62">SUM(K93:K94)</f>
        <v>35915000000</v>
      </c>
      <c r="L92" s="48">
        <f t="shared" si="62"/>
        <v>344</v>
      </c>
      <c r="M92" s="28"/>
      <c r="N92" s="50">
        <f>SUM(N93:N94)</f>
        <v>2625000000</v>
      </c>
      <c r="O92" s="29">
        <f t="shared" si="55"/>
        <v>7.3089238479743843E-2</v>
      </c>
    </row>
    <row r="93" spans="2:15" ht="15">
      <c r="B93" s="69"/>
      <c r="C93" s="70"/>
      <c r="D93" s="24"/>
      <c r="E93" s="24" t="s">
        <v>33</v>
      </c>
      <c r="F93" s="25" t="s">
        <v>51</v>
      </c>
      <c r="G93" s="25"/>
      <c r="H93" s="71"/>
      <c r="I93" s="27">
        <v>539</v>
      </c>
      <c r="J93" s="28">
        <v>10000000</v>
      </c>
      <c r="K93" s="28">
        <f t="shared" ref="K93:K94" si="63">I93*J93</f>
        <v>5390000000</v>
      </c>
      <c r="L93" s="27">
        <v>18</v>
      </c>
      <c r="M93" s="28">
        <v>10000000</v>
      </c>
      <c r="N93" s="28">
        <f t="shared" ref="N93:N94" si="64">L93*M93</f>
        <v>180000000</v>
      </c>
      <c r="O93" s="29">
        <f t="shared" si="55"/>
        <v>3.3395176252319109E-2</v>
      </c>
    </row>
    <row r="94" spans="2:15" ht="15">
      <c r="B94" s="69"/>
      <c r="C94" s="70"/>
      <c r="D94" s="24"/>
      <c r="E94" s="24" t="s">
        <v>35</v>
      </c>
      <c r="F94" s="25" t="s">
        <v>52</v>
      </c>
      <c r="G94" s="25"/>
      <c r="H94" s="71"/>
      <c r="I94" s="27">
        <v>4070</v>
      </c>
      <c r="J94" s="28">
        <v>7500000</v>
      </c>
      <c r="K94" s="28">
        <f t="shared" si="63"/>
        <v>30525000000</v>
      </c>
      <c r="L94" s="27">
        <v>326</v>
      </c>
      <c r="M94" s="28">
        <v>7500000</v>
      </c>
      <c r="N94" s="28">
        <f t="shared" si="64"/>
        <v>2445000000</v>
      </c>
      <c r="O94" s="29">
        <f t="shared" si="55"/>
        <v>8.00982800982801E-2</v>
      </c>
    </row>
    <row r="95" spans="2:15" ht="15.75">
      <c r="B95" s="69"/>
      <c r="C95" s="70"/>
      <c r="D95" s="47" t="s">
        <v>16</v>
      </c>
      <c r="E95" s="45" t="s">
        <v>55</v>
      </c>
      <c r="F95" s="25"/>
      <c r="G95" s="25"/>
      <c r="H95" s="71"/>
      <c r="I95" s="48">
        <v>3955</v>
      </c>
      <c r="J95" s="28"/>
      <c r="K95" s="50">
        <f t="shared" ref="K95:L95" si="65">SUM(K96:K97)</f>
        <v>21565000000</v>
      </c>
      <c r="L95" s="48">
        <f t="shared" si="65"/>
        <v>85</v>
      </c>
      <c r="M95" s="28"/>
      <c r="N95" s="50">
        <f>SUM(N96:N97)</f>
        <v>515000000</v>
      </c>
      <c r="O95" s="29">
        <f t="shared" si="55"/>
        <v>2.3881289125898448E-2</v>
      </c>
    </row>
    <row r="96" spans="2:15" ht="15">
      <c r="B96" s="69"/>
      <c r="C96" s="70"/>
      <c r="D96" s="25"/>
      <c r="E96" s="24" t="s">
        <v>33</v>
      </c>
      <c r="F96" s="25" t="s">
        <v>51</v>
      </c>
      <c r="G96" s="25"/>
      <c r="H96" s="71"/>
      <c r="I96" s="27">
        <v>716</v>
      </c>
      <c r="J96" s="28">
        <v>7500000</v>
      </c>
      <c r="K96" s="28">
        <f t="shared" ref="K96:K97" si="66">I96*J96</f>
        <v>5370000000</v>
      </c>
      <c r="L96" s="27">
        <v>36</v>
      </c>
      <c r="M96" s="28">
        <v>7500000</v>
      </c>
      <c r="N96" s="28">
        <f t="shared" ref="N96:N97" si="67">L96*M96</f>
        <v>270000000</v>
      </c>
      <c r="O96" s="29">
        <f t="shared" si="55"/>
        <v>5.027932960893855E-2</v>
      </c>
    </row>
    <row r="97" spans="2:15" ht="15">
      <c r="B97" s="69"/>
      <c r="C97" s="70"/>
      <c r="D97" s="25"/>
      <c r="E97" s="24" t="s">
        <v>35</v>
      </c>
      <c r="F97" s="25" t="s">
        <v>52</v>
      </c>
      <c r="G97" s="25"/>
      <c r="H97" s="71"/>
      <c r="I97" s="27">
        <v>3239</v>
      </c>
      <c r="J97" s="28">
        <v>5000000</v>
      </c>
      <c r="K97" s="28">
        <f t="shared" si="66"/>
        <v>16195000000</v>
      </c>
      <c r="L97" s="27">
        <v>49</v>
      </c>
      <c r="M97" s="28">
        <v>5000000</v>
      </c>
      <c r="N97" s="28">
        <f t="shared" si="67"/>
        <v>245000000</v>
      </c>
      <c r="O97" s="29">
        <f t="shared" si="55"/>
        <v>1.5128125964803951E-2</v>
      </c>
    </row>
    <row r="98" spans="2:15" ht="15">
      <c r="B98" s="72"/>
      <c r="C98" s="73"/>
      <c r="D98" s="74"/>
      <c r="E98" s="74"/>
      <c r="F98" s="74"/>
      <c r="G98" s="74"/>
      <c r="H98" s="75"/>
      <c r="I98" s="76"/>
      <c r="J98" s="77"/>
      <c r="K98" s="78"/>
      <c r="L98" s="76"/>
      <c r="M98" s="77"/>
      <c r="N98" s="78"/>
      <c r="O98" s="79"/>
    </row>
    <row r="99" spans="2:15" ht="15.75">
      <c r="B99" s="80"/>
      <c r="C99" s="105" t="s">
        <v>56</v>
      </c>
      <c r="D99" s="103"/>
      <c r="E99" s="103"/>
      <c r="F99" s="103"/>
      <c r="G99" s="103"/>
      <c r="H99" s="104"/>
      <c r="I99" s="81">
        <f>SUM(I13,I24,I35,I37,I45,I49,I53,I57,I65,I69,I77,I85)</f>
        <v>19337001</v>
      </c>
      <c r="J99" s="81"/>
      <c r="K99" s="81">
        <f>SUM(K13,K24,K35,K37,K45,K49,K53,K57,K65,K69,K77,K85)</f>
        <v>2210588370000</v>
      </c>
      <c r="L99" s="81">
        <f>SUM(L13,L24,L35,L37,L45,L49,L53,L57,L65,L69,L77,L85)</f>
        <v>892679</v>
      </c>
      <c r="M99" s="81"/>
      <c r="N99" s="81">
        <f>SUM(N13,N24,N35,N37,N45,N49,N53,N57,N65,N69,N77,N85)</f>
        <v>100256630000</v>
      </c>
      <c r="O99" s="82">
        <f>N99/K99</f>
        <v>4.5352916608350745E-2</v>
      </c>
    </row>
    <row r="100" spans="2:15" ht="15.75">
      <c r="B100" s="83"/>
      <c r="C100" s="84"/>
      <c r="D100" s="84"/>
      <c r="E100" s="84"/>
      <c r="F100" s="84"/>
      <c r="G100" s="84"/>
      <c r="H100" s="84"/>
      <c r="I100" s="85"/>
      <c r="J100" s="84"/>
      <c r="K100" s="84"/>
      <c r="L100" s="85"/>
      <c r="M100" s="84"/>
      <c r="N100" s="86"/>
      <c r="O100" s="87"/>
    </row>
    <row r="101" spans="2:15" ht="15.75">
      <c r="B101" s="83"/>
      <c r="C101" s="88"/>
      <c r="D101" s="84"/>
      <c r="E101" s="84"/>
      <c r="F101" s="84"/>
      <c r="G101" s="84"/>
      <c r="H101" s="84"/>
      <c r="I101" s="84"/>
      <c r="J101" s="84"/>
      <c r="K101" s="84"/>
      <c r="L101" s="84"/>
      <c r="M101" s="106"/>
      <c r="N101" s="100"/>
      <c r="O101" s="100"/>
    </row>
    <row r="102" spans="2:15" ht="15.75">
      <c r="B102" s="101"/>
      <c r="C102" s="100"/>
      <c r="D102" s="100"/>
      <c r="E102" s="100"/>
      <c r="F102" s="100"/>
      <c r="G102" s="84"/>
      <c r="H102" s="84"/>
      <c r="I102" s="84"/>
      <c r="J102" s="84"/>
      <c r="K102" s="84"/>
      <c r="L102" s="84"/>
      <c r="M102" s="101"/>
      <c r="N102" s="100"/>
      <c r="O102" s="100"/>
    </row>
    <row r="103" spans="2:15" ht="15.75">
      <c r="B103" s="89"/>
      <c r="C103" s="89"/>
      <c r="D103" s="89"/>
      <c r="E103" s="84"/>
      <c r="F103" s="84"/>
      <c r="G103" s="84"/>
      <c r="H103" s="84"/>
      <c r="I103" s="86"/>
      <c r="J103" s="86"/>
      <c r="K103" s="86"/>
      <c r="L103" s="86"/>
      <c r="M103" s="89"/>
      <c r="N103" s="89"/>
      <c r="O103" s="89"/>
    </row>
    <row r="104" spans="2:15" ht="15.75">
      <c r="B104" s="101"/>
      <c r="C104" s="100"/>
      <c r="D104" s="100"/>
      <c r="E104" s="100"/>
      <c r="F104" s="100"/>
      <c r="G104" s="84"/>
      <c r="H104" s="84"/>
      <c r="I104" s="84"/>
      <c r="J104" s="84"/>
      <c r="K104" s="84"/>
      <c r="L104" s="84"/>
      <c r="M104" s="101"/>
      <c r="N104" s="100"/>
      <c r="O104" s="100"/>
    </row>
    <row r="105" spans="2:15" ht="15.75">
      <c r="B105" s="89"/>
      <c r="C105" s="89"/>
      <c r="D105" s="89"/>
      <c r="E105" s="84"/>
      <c r="F105" s="84"/>
      <c r="G105" s="84"/>
      <c r="H105" s="84"/>
      <c r="I105" s="84"/>
      <c r="J105" s="84"/>
      <c r="K105" s="84"/>
      <c r="L105" s="84"/>
      <c r="M105" s="89"/>
      <c r="N105" s="89"/>
      <c r="O105" s="89"/>
    </row>
    <row r="106" spans="2:15" ht="15.75">
      <c r="B106" s="99"/>
      <c r="C106" s="100"/>
      <c r="D106" s="100"/>
      <c r="E106" s="100"/>
      <c r="F106" s="100"/>
      <c r="G106" s="84"/>
      <c r="H106" s="84"/>
      <c r="I106" s="84"/>
      <c r="J106" s="84"/>
      <c r="K106" s="84"/>
      <c r="L106" s="84"/>
      <c r="M106" s="99"/>
      <c r="N106" s="100"/>
      <c r="O106" s="100"/>
    </row>
    <row r="107" spans="2:15" ht="15.75">
      <c r="B107" s="101"/>
      <c r="C107" s="100"/>
      <c r="D107" s="100"/>
      <c r="E107" s="100"/>
      <c r="F107" s="100"/>
      <c r="G107" s="84"/>
      <c r="H107" s="84"/>
      <c r="I107" s="84"/>
      <c r="J107" s="84"/>
      <c r="K107" s="84"/>
      <c r="L107" s="84"/>
      <c r="M107" s="101"/>
      <c r="N107" s="100"/>
      <c r="O107" s="100"/>
    </row>
  </sheetData>
  <mergeCells count="20">
    <mergeCell ref="B2:G5"/>
    <mergeCell ref="B6:O6"/>
    <mergeCell ref="B7:O7"/>
    <mergeCell ref="B9:H9"/>
    <mergeCell ref="B10:B11"/>
    <mergeCell ref="C10:H11"/>
    <mergeCell ref="I10:K10"/>
    <mergeCell ref="L10:N10"/>
    <mergeCell ref="O10:O11"/>
    <mergeCell ref="B106:F106"/>
    <mergeCell ref="M106:O106"/>
    <mergeCell ref="B107:F107"/>
    <mergeCell ref="M107:O107"/>
    <mergeCell ref="C12:H12"/>
    <mergeCell ref="C99:H99"/>
    <mergeCell ref="M101:O101"/>
    <mergeCell ref="B102:F102"/>
    <mergeCell ref="M102:O102"/>
    <mergeCell ref="B104:F104"/>
    <mergeCell ref="M104:O10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7"/>
  <sheetViews>
    <sheetView topLeftCell="I88" workbookViewId="0">
      <selection activeCell="N77" sqref="N77"/>
    </sheetView>
  </sheetViews>
  <sheetFormatPr defaultRowHeight="14.25"/>
  <cols>
    <col min="2" max="2" width="5.875" customWidth="1"/>
    <col min="3" max="10" width="16.125" customWidth="1"/>
    <col min="11" max="11" width="26.25" customWidth="1"/>
    <col min="12" max="13" width="16.125" customWidth="1"/>
    <col min="14" max="14" width="20.75" customWidth="1"/>
    <col min="15" max="15" width="16.125" customWidth="1"/>
  </cols>
  <sheetData>
    <row r="1" spans="2:15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2:15" ht="15">
      <c r="B2" s="107"/>
      <c r="C2" s="108"/>
      <c r="D2" s="108"/>
      <c r="E2" s="108"/>
      <c r="F2" s="108"/>
      <c r="G2" s="108"/>
      <c r="H2" s="3"/>
      <c r="I2" s="3"/>
      <c r="J2" s="3"/>
      <c r="K2" s="3"/>
      <c r="L2" s="3"/>
      <c r="M2" s="3"/>
      <c r="N2" s="3"/>
      <c r="O2" s="4"/>
    </row>
    <row r="3" spans="2:15" ht="15">
      <c r="B3" s="108"/>
      <c r="C3" s="100"/>
      <c r="D3" s="100"/>
      <c r="E3" s="100"/>
      <c r="F3" s="100"/>
      <c r="G3" s="108"/>
      <c r="H3" s="3"/>
      <c r="I3" s="3"/>
      <c r="J3" s="3"/>
      <c r="K3" s="3"/>
      <c r="L3" s="3"/>
      <c r="M3" s="3"/>
      <c r="N3" s="3"/>
      <c r="O3" s="4"/>
    </row>
    <row r="4" spans="2:15" ht="15.75">
      <c r="B4" s="108"/>
      <c r="C4" s="100"/>
      <c r="D4" s="100"/>
      <c r="E4" s="100"/>
      <c r="F4" s="100"/>
      <c r="G4" s="108"/>
      <c r="H4" s="5"/>
      <c r="I4" s="3"/>
      <c r="J4" s="6"/>
      <c r="K4" s="7"/>
      <c r="L4" s="3"/>
      <c r="M4" s="6"/>
      <c r="N4" s="7"/>
      <c r="O4" s="4"/>
    </row>
    <row r="5" spans="2:15" ht="15.75">
      <c r="B5" s="108"/>
      <c r="C5" s="108"/>
      <c r="D5" s="108"/>
      <c r="E5" s="108"/>
      <c r="F5" s="108"/>
      <c r="G5" s="108"/>
      <c r="H5" s="5"/>
      <c r="I5" s="5"/>
      <c r="J5" s="8"/>
      <c r="K5" s="6"/>
      <c r="L5" s="5"/>
      <c r="M5" s="8"/>
      <c r="N5" s="6"/>
      <c r="O5" s="4"/>
    </row>
    <row r="6" spans="2:15" ht="15.75">
      <c r="B6" s="109" t="s">
        <v>57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</row>
    <row r="7" spans="2:15" ht="15.75">
      <c r="B7" s="110" t="s">
        <v>62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</row>
    <row r="8" spans="2:15" ht="15.7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ht="15.75">
      <c r="B9" s="111"/>
      <c r="C9" s="108"/>
      <c r="D9" s="108"/>
      <c r="E9" s="108"/>
      <c r="F9" s="108"/>
      <c r="G9" s="108"/>
      <c r="H9" s="108"/>
      <c r="I9" s="11"/>
      <c r="J9" s="9"/>
      <c r="K9" s="11"/>
      <c r="L9" s="11"/>
      <c r="M9" s="9"/>
      <c r="N9" s="11"/>
      <c r="O9" s="4"/>
    </row>
    <row r="10" spans="2:15" ht="15.75">
      <c r="B10" s="112" t="s">
        <v>0</v>
      </c>
      <c r="C10" s="114" t="s">
        <v>1</v>
      </c>
      <c r="D10" s="115"/>
      <c r="E10" s="115"/>
      <c r="F10" s="115"/>
      <c r="G10" s="115"/>
      <c r="H10" s="116"/>
      <c r="I10" s="120" t="s">
        <v>2</v>
      </c>
      <c r="J10" s="103"/>
      <c r="K10" s="104"/>
      <c r="L10" s="120" t="s">
        <v>3</v>
      </c>
      <c r="M10" s="103"/>
      <c r="N10" s="104"/>
      <c r="O10" s="121" t="s">
        <v>4</v>
      </c>
    </row>
    <row r="11" spans="2:15" ht="15.75">
      <c r="B11" s="113"/>
      <c r="C11" s="117"/>
      <c r="D11" s="118"/>
      <c r="E11" s="118"/>
      <c r="F11" s="118"/>
      <c r="G11" s="118"/>
      <c r="H11" s="119"/>
      <c r="I11" s="12" t="s">
        <v>5</v>
      </c>
      <c r="J11" s="12" t="s">
        <v>6</v>
      </c>
      <c r="K11" s="12" t="s">
        <v>7</v>
      </c>
      <c r="L11" s="12" t="s">
        <v>5</v>
      </c>
      <c r="M11" s="12" t="s">
        <v>6</v>
      </c>
      <c r="N11" s="12" t="s">
        <v>8</v>
      </c>
      <c r="O11" s="122"/>
    </row>
    <row r="12" spans="2:15" ht="15.75">
      <c r="B12" s="12">
        <v>1</v>
      </c>
      <c r="C12" s="102">
        <v>2</v>
      </c>
      <c r="D12" s="103"/>
      <c r="E12" s="103"/>
      <c r="F12" s="103"/>
      <c r="G12" s="103"/>
      <c r="H12" s="104"/>
      <c r="I12" s="12">
        <v>3</v>
      </c>
      <c r="J12" s="12">
        <v>4</v>
      </c>
      <c r="K12" s="12">
        <v>5</v>
      </c>
      <c r="L12" s="12">
        <v>3</v>
      </c>
      <c r="M12" s="12">
        <v>4</v>
      </c>
      <c r="N12" s="12">
        <v>5</v>
      </c>
      <c r="O12" s="12">
        <v>6</v>
      </c>
    </row>
    <row r="13" spans="2:15" ht="15.75">
      <c r="B13" s="13"/>
      <c r="C13" s="14">
        <v>1</v>
      </c>
      <c r="D13" s="15" t="s">
        <v>9</v>
      </c>
      <c r="E13" s="16"/>
      <c r="F13" s="16"/>
      <c r="G13" s="16"/>
      <c r="H13" s="17"/>
      <c r="I13" s="18">
        <v>1002980</v>
      </c>
      <c r="J13" s="19"/>
      <c r="K13" s="20">
        <f t="shared" ref="K13:L13" si="0">SUM(K14:K22)</f>
        <v>106956030000</v>
      </c>
      <c r="L13" s="18">
        <f t="shared" si="0"/>
        <v>31200</v>
      </c>
      <c r="M13" s="19"/>
      <c r="N13" s="20">
        <f>SUM(N14:N22)</f>
        <v>3383700000</v>
      </c>
      <c r="O13" s="21">
        <f t="shared" ref="O13:O22" si="1">N13/K13</f>
        <v>3.1636364962312084E-2</v>
      </c>
    </row>
    <row r="14" spans="2:15" ht="15.75">
      <c r="B14" s="22"/>
      <c r="C14" s="23"/>
      <c r="D14" s="24" t="s">
        <v>10</v>
      </c>
      <c r="E14" s="25" t="s">
        <v>11</v>
      </c>
      <c r="F14" s="24"/>
      <c r="G14" s="24"/>
      <c r="H14" s="26"/>
      <c r="I14" s="27">
        <v>294130</v>
      </c>
      <c r="J14" s="28">
        <v>120000</v>
      </c>
      <c r="K14" s="28">
        <f t="shared" ref="K14:K22" si="2">I14*J14</f>
        <v>35295600000</v>
      </c>
      <c r="L14" s="27">
        <v>11276</v>
      </c>
      <c r="M14" s="28">
        <v>120000</v>
      </c>
      <c r="N14" s="28">
        <f t="shared" ref="N14:N22" si="3">L14*M14</f>
        <v>1353120000</v>
      </c>
      <c r="O14" s="29">
        <f t="shared" si="1"/>
        <v>3.8336789854826095E-2</v>
      </c>
    </row>
    <row r="15" spans="2:15" ht="15.75">
      <c r="B15" s="22"/>
      <c r="C15" s="23"/>
      <c r="D15" s="24" t="s">
        <v>12</v>
      </c>
      <c r="E15" s="25" t="s">
        <v>13</v>
      </c>
      <c r="F15" s="24"/>
      <c r="G15" s="24"/>
      <c r="H15" s="26"/>
      <c r="I15" s="27">
        <v>30304</v>
      </c>
      <c r="J15" s="28">
        <v>120000</v>
      </c>
      <c r="K15" s="28">
        <f t="shared" si="2"/>
        <v>3636480000</v>
      </c>
      <c r="L15" s="27">
        <v>1442</v>
      </c>
      <c r="M15" s="28">
        <v>120000</v>
      </c>
      <c r="N15" s="28">
        <f t="shared" si="3"/>
        <v>173040000</v>
      </c>
      <c r="O15" s="29">
        <f t="shared" si="1"/>
        <v>4.7584477296726505E-2</v>
      </c>
    </row>
    <row r="16" spans="2:15" ht="15.75">
      <c r="B16" s="22"/>
      <c r="C16" s="23"/>
      <c r="D16" s="24" t="s">
        <v>14</v>
      </c>
      <c r="E16" s="25" t="s">
        <v>15</v>
      </c>
      <c r="F16" s="24"/>
      <c r="G16" s="24"/>
      <c r="H16" s="26"/>
      <c r="I16" s="27">
        <v>13370</v>
      </c>
      <c r="J16" s="28">
        <v>120000</v>
      </c>
      <c r="K16" s="28">
        <f t="shared" si="2"/>
        <v>1604400000</v>
      </c>
      <c r="L16" s="27">
        <v>502</v>
      </c>
      <c r="M16" s="28">
        <v>120000</v>
      </c>
      <c r="N16" s="28">
        <f t="shared" si="3"/>
        <v>60240000</v>
      </c>
      <c r="O16" s="29">
        <f t="shared" si="1"/>
        <v>3.7546746447270005E-2</v>
      </c>
    </row>
    <row r="17" spans="2:15" ht="15.75">
      <c r="B17" s="22"/>
      <c r="C17" s="23"/>
      <c r="D17" s="24" t="s">
        <v>16</v>
      </c>
      <c r="E17" s="25" t="s">
        <v>17</v>
      </c>
      <c r="F17" s="24"/>
      <c r="G17" s="24"/>
      <c r="H17" s="26"/>
      <c r="I17" s="27">
        <v>662649</v>
      </c>
      <c r="J17" s="28">
        <v>100000</v>
      </c>
      <c r="K17" s="28">
        <f t="shared" si="2"/>
        <v>66264900000</v>
      </c>
      <c r="L17" s="27">
        <v>17963</v>
      </c>
      <c r="M17" s="28">
        <v>100000</v>
      </c>
      <c r="N17" s="28">
        <f t="shared" si="3"/>
        <v>1796300000</v>
      </c>
      <c r="O17" s="29">
        <f t="shared" si="1"/>
        <v>2.7107865551747608E-2</v>
      </c>
    </row>
    <row r="18" spans="2:15" ht="15.75">
      <c r="B18" s="22"/>
      <c r="C18" s="23"/>
      <c r="D18" s="24" t="s">
        <v>18</v>
      </c>
      <c r="E18" s="25" t="s">
        <v>19</v>
      </c>
      <c r="F18" s="24"/>
      <c r="G18" s="24"/>
      <c r="H18" s="26"/>
      <c r="I18" s="27">
        <v>299</v>
      </c>
      <c r="J18" s="28">
        <v>100000</v>
      </c>
      <c r="K18" s="28">
        <f t="shared" si="2"/>
        <v>29900000</v>
      </c>
      <c r="L18" s="27">
        <v>3</v>
      </c>
      <c r="M18" s="28">
        <v>100000</v>
      </c>
      <c r="N18" s="28">
        <f t="shared" si="3"/>
        <v>300000</v>
      </c>
      <c r="O18" s="29">
        <f t="shared" si="1"/>
        <v>1.0033444816053512E-2</v>
      </c>
    </row>
    <row r="19" spans="2:15" ht="15.75">
      <c r="B19" s="22"/>
      <c r="C19" s="23"/>
      <c r="D19" s="24" t="s">
        <v>20</v>
      </c>
      <c r="E19" s="25" t="s">
        <v>21</v>
      </c>
      <c r="F19" s="24"/>
      <c r="G19" s="24"/>
      <c r="H19" s="26"/>
      <c r="I19" s="27">
        <v>267</v>
      </c>
      <c r="J19" s="28">
        <v>100000</v>
      </c>
      <c r="K19" s="28">
        <f t="shared" si="2"/>
        <v>26700000</v>
      </c>
      <c r="L19" s="27">
        <v>0</v>
      </c>
      <c r="M19" s="28">
        <v>100000</v>
      </c>
      <c r="N19" s="28">
        <f t="shared" si="3"/>
        <v>0</v>
      </c>
      <c r="O19" s="29">
        <f t="shared" si="1"/>
        <v>0</v>
      </c>
    </row>
    <row r="20" spans="2:15" ht="15.75">
      <c r="B20" s="22"/>
      <c r="C20" s="23"/>
      <c r="D20" s="24" t="s">
        <v>22</v>
      </c>
      <c r="E20" s="25" t="s">
        <v>23</v>
      </c>
      <c r="F20" s="24"/>
      <c r="G20" s="24"/>
      <c r="H20" s="26"/>
      <c r="I20" s="27">
        <v>1925</v>
      </c>
      <c r="J20" s="28">
        <v>50000</v>
      </c>
      <c r="K20" s="28">
        <f t="shared" si="2"/>
        <v>96250000</v>
      </c>
      <c r="L20" s="27">
        <v>14</v>
      </c>
      <c r="M20" s="28">
        <v>50000</v>
      </c>
      <c r="N20" s="28">
        <f t="shared" si="3"/>
        <v>700000</v>
      </c>
      <c r="O20" s="29">
        <f t="shared" si="1"/>
        <v>7.2727272727272727E-3</v>
      </c>
    </row>
    <row r="21" spans="2:15" ht="15.75">
      <c r="B21" s="22"/>
      <c r="C21" s="23"/>
      <c r="D21" s="24" t="s">
        <v>24</v>
      </c>
      <c r="E21" s="25" t="s">
        <v>25</v>
      </c>
      <c r="F21" s="24"/>
      <c r="G21" s="24"/>
      <c r="H21" s="26"/>
      <c r="I21" s="27">
        <v>36</v>
      </c>
      <c r="J21" s="28">
        <v>50000</v>
      </c>
      <c r="K21" s="28">
        <f t="shared" si="2"/>
        <v>1800000</v>
      </c>
      <c r="L21" s="27">
        <v>0</v>
      </c>
      <c r="M21" s="28">
        <v>50000</v>
      </c>
      <c r="N21" s="28">
        <f t="shared" si="3"/>
        <v>0</v>
      </c>
      <c r="O21" s="29">
        <f t="shared" si="1"/>
        <v>0</v>
      </c>
    </row>
    <row r="22" spans="2:15" ht="15.75">
      <c r="B22" s="22"/>
      <c r="C22" s="23"/>
      <c r="D22" s="24" t="s">
        <v>26</v>
      </c>
      <c r="E22" s="25" t="s">
        <v>27</v>
      </c>
      <c r="F22" s="24"/>
      <c r="G22" s="24"/>
      <c r="H22" s="26"/>
      <c r="I22" s="27">
        <v>0</v>
      </c>
      <c r="J22" s="28">
        <v>250000</v>
      </c>
      <c r="K22" s="28">
        <f t="shared" si="2"/>
        <v>0</v>
      </c>
      <c r="L22" s="27">
        <v>0</v>
      </c>
      <c r="M22" s="28">
        <v>250000</v>
      </c>
      <c r="N22" s="28">
        <f t="shared" si="3"/>
        <v>0</v>
      </c>
      <c r="O22" s="29" t="e">
        <f t="shared" si="1"/>
        <v>#DIV/0!</v>
      </c>
    </row>
    <row r="23" spans="2:15" ht="15.75">
      <c r="B23" s="22"/>
      <c r="C23" s="23"/>
      <c r="D23" s="24"/>
      <c r="E23" s="25"/>
      <c r="F23" s="24"/>
      <c r="G23" s="24"/>
      <c r="H23" s="26"/>
      <c r="I23" s="30"/>
      <c r="J23" s="28"/>
      <c r="K23" s="28"/>
      <c r="L23" s="30"/>
      <c r="M23" s="28"/>
      <c r="N23" s="28"/>
      <c r="O23" s="29"/>
    </row>
    <row r="24" spans="2:15" ht="15.75">
      <c r="B24" s="31"/>
      <c r="C24" s="32">
        <v>2</v>
      </c>
      <c r="D24" s="33" t="s">
        <v>28</v>
      </c>
      <c r="E24" s="34"/>
      <c r="F24" s="34"/>
      <c r="G24" s="34"/>
      <c r="H24" s="35"/>
      <c r="I24" s="36">
        <v>1997021</v>
      </c>
      <c r="J24" s="37"/>
      <c r="K24" s="38">
        <f t="shared" ref="K24:L24" si="4">SUM(K25:K33)</f>
        <v>153240870000</v>
      </c>
      <c r="L24" s="36">
        <f t="shared" si="4"/>
        <v>113577</v>
      </c>
      <c r="M24" s="37"/>
      <c r="N24" s="38">
        <f>SUM(N25:N33)</f>
        <v>8715480000</v>
      </c>
      <c r="O24" s="39">
        <f t="shared" ref="O24:O32" si="5">N24/K24</f>
        <v>5.6874383446139404E-2</v>
      </c>
    </row>
    <row r="25" spans="2:15" ht="15.75">
      <c r="B25" s="22"/>
      <c r="C25" s="23"/>
      <c r="D25" s="24" t="s">
        <v>10</v>
      </c>
      <c r="E25" s="25" t="s">
        <v>11</v>
      </c>
      <c r="F25" s="24"/>
      <c r="G25" s="24"/>
      <c r="H25" s="26"/>
      <c r="I25" s="27">
        <v>596792</v>
      </c>
      <c r="J25" s="28">
        <v>80000</v>
      </c>
      <c r="K25" s="28">
        <f t="shared" ref="K25:K33" si="6">I25*J25</f>
        <v>47743360000</v>
      </c>
      <c r="L25" s="27">
        <v>35513</v>
      </c>
      <c r="M25" s="28">
        <v>80000</v>
      </c>
      <c r="N25" s="28">
        <f t="shared" ref="N25:N33" si="7">L25*M25</f>
        <v>2841040000</v>
      </c>
      <c r="O25" s="29">
        <f t="shared" si="5"/>
        <v>5.9506494725130366E-2</v>
      </c>
    </row>
    <row r="26" spans="2:15" ht="15.75">
      <c r="B26" s="22"/>
      <c r="C26" s="23"/>
      <c r="D26" s="24" t="s">
        <v>12</v>
      </c>
      <c r="E26" s="25" t="s">
        <v>13</v>
      </c>
      <c r="F26" s="24"/>
      <c r="G26" s="24"/>
      <c r="H26" s="26"/>
      <c r="I26" s="27">
        <v>63576</v>
      </c>
      <c r="J26" s="28">
        <v>80000</v>
      </c>
      <c r="K26" s="28">
        <f t="shared" si="6"/>
        <v>5086080000</v>
      </c>
      <c r="L26" s="27">
        <v>2361</v>
      </c>
      <c r="M26" s="28">
        <v>80000</v>
      </c>
      <c r="N26" s="28">
        <f t="shared" si="7"/>
        <v>188880000</v>
      </c>
      <c r="O26" s="29">
        <f t="shared" si="5"/>
        <v>3.7136655341638354E-2</v>
      </c>
    </row>
    <row r="27" spans="2:15" ht="15.75">
      <c r="B27" s="22"/>
      <c r="C27" s="23"/>
      <c r="D27" s="24" t="s">
        <v>14</v>
      </c>
      <c r="E27" s="25" t="s">
        <v>15</v>
      </c>
      <c r="F27" s="24"/>
      <c r="G27" s="24"/>
      <c r="H27" s="26"/>
      <c r="I27" s="27">
        <v>35983</v>
      </c>
      <c r="J27" s="28">
        <v>80000</v>
      </c>
      <c r="K27" s="28">
        <f t="shared" si="6"/>
        <v>2878640000</v>
      </c>
      <c r="L27" s="27">
        <v>1612</v>
      </c>
      <c r="M27" s="28">
        <v>80000</v>
      </c>
      <c r="N27" s="28">
        <f t="shared" si="7"/>
        <v>128960000</v>
      </c>
      <c r="O27" s="29">
        <f t="shared" si="5"/>
        <v>4.4798932829391659E-2</v>
      </c>
    </row>
    <row r="28" spans="2:15" ht="15.75">
      <c r="B28" s="22"/>
      <c r="C28" s="23"/>
      <c r="D28" s="24" t="s">
        <v>16</v>
      </c>
      <c r="E28" s="25" t="s">
        <v>17</v>
      </c>
      <c r="F28" s="24"/>
      <c r="G28" s="24"/>
      <c r="H28" s="26"/>
      <c r="I28" s="27">
        <v>1296381</v>
      </c>
      <c r="J28" s="28">
        <v>75000</v>
      </c>
      <c r="K28" s="28">
        <f t="shared" si="6"/>
        <v>97228575000</v>
      </c>
      <c r="L28" s="27">
        <v>74086</v>
      </c>
      <c r="M28" s="28">
        <v>75000</v>
      </c>
      <c r="N28" s="28">
        <f t="shared" si="7"/>
        <v>5556450000</v>
      </c>
      <c r="O28" s="29">
        <f t="shared" si="5"/>
        <v>5.7148322908157398E-2</v>
      </c>
    </row>
    <row r="29" spans="2:15" ht="15.75">
      <c r="B29" s="22"/>
      <c r="C29" s="23"/>
      <c r="D29" s="24" t="s">
        <v>18</v>
      </c>
      <c r="E29" s="25" t="s">
        <v>19</v>
      </c>
      <c r="F29" s="24"/>
      <c r="G29" s="24"/>
      <c r="H29" s="26"/>
      <c r="I29" s="27">
        <v>3815</v>
      </c>
      <c r="J29" s="28">
        <v>75000</v>
      </c>
      <c r="K29" s="28">
        <f t="shared" si="6"/>
        <v>286125000</v>
      </c>
      <c r="L29" s="27">
        <v>0</v>
      </c>
      <c r="M29" s="28">
        <v>75000</v>
      </c>
      <c r="N29" s="28">
        <f t="shared" si="7"/>
        <v>0</v>
      </c>
      <c r="O29" s="29">
        <f t="shared" si="5"/>
        <v>0</v>
      </c>
    </row>
    <row r="30" spans="2:15" ht="15.75">
      <c r="B30" s="22"/>
      <c r="C30" s="23"/>
      <c r="D30" s="24" t="s">
        <v>20</v>
      </c>
      <c r="E30" s="25" t="s">
        <v>21</v>
      </c>
      <c r="F30" s="24"/>
      <c r="G30" s="24"/>
      <c r="H30" s="26"/>
      <c r="I30" s="27">
        <v>86</v>
      </c>
      <c r="J30" s="28">
        <v>75000</v>
      </c>
      <c r="K30" s="28">
        <f t="shared" si="6"/>
        <v>6450000</v>
      </c>
      <c r="L30" s="27">
        <v>0</v>
      </c>
      <c r="M30" s="28">
        <v>75000</v>
      </c>
      <c r="N30" s="28">
        <f t="shared" si="7"/>
        <v>0</v>
      </c>
      <c r="O30" s="29">
        <f t="shared" si="5"/>
        <v>0</v>
      </c>
    </row>
    <row r="31" spans="2:15" ht="15.75">
      <c r="B31" s="22"/>
      <c r="C31" s="23"/>
      <c r="D31" s="24" t="s">
        <v>22</v>
      </c>
      <c r="E31" s="25" t="s">
        <v>23</v>
      </c>
      <c r="F31" s="24"/>
      <c r="G31" s="24"/>
      <c r="H31" s="26"/>
      <c r="I31" s="27">
        <v>360</v>
      </c>
      <c r="J31" s="28">
        <v>30000</v>
      </c>
      <c r="K31" s="28">
        <f t="shared" si="6"/>
        <v>10800000</v>
      </c>
      <c r="L31" s="27">
        <v>5</v>
      </c>
      <c r="M31" s="28">
        <v>30000</v>
      </c>
      <c r="N31" s="28">
        <f t="shared" si="7"/>
        <v>150000</v>
      </c>
      <c r="O31" s="29">
        <f t="shared" si="5"/>
        <v>1.3888888888888888E-2</v>
      </c>
    </row>
    <row r="32" spans="2:15" ht="15.75">
      <c r="B32" s="22"/>
      <c r="C32" s="23"/>
      <c r="D32" s="24" t="s">
        <v>24</v>
      </c>
      <c r="E32" s="25" t="s">
        <v>25</v>
      </c>
      <c r="F32" s="24"/>
      <c r="G32" s="24"/>
      <c r="H32" s="26"/>
      <c r="I32" s="27">
        <v>28</v>
      </c>
      <c r="J32" s="28">
        <v>30000</v>
      </c>
      <c r="K32" s="28">
        <f t="shared" si="6"/>
        <v>840000</v>
      </c>
      <c r="L32" s="27">
        <v>0</v>
      </c>
      <c r="M32" s="28">
        <v>30000</v>
      </c>
      <c r="N32" s="28">
        <f t="shared" si="7"/>
        <v>0</v>
      </c>
      <c r="O32" s="29">
        <f t="shared" si="5"/>
        <v>0</v>
      </c>
    </row>
    <row r="33" spans="2:15" ht="15.75">
      <c r="B33" s="22"/>
      <c r="C33" s="23"/>
      <c r="D33" s="24" t="s">
        <v>26</v>
      </c>
      <c r="E33" s="25" t="s">
        <v>29</v>
      </c>
      <c r="F33" s="24"/>
      <c r="G33" s="24"/>
      <c r="H33" s="26"/>
      <c r="I33" s="27">
        <v>0</v>
      </c>
      <c r="J33" s="28">
        <v>225000</v>
      </c>
      <c r="K33" s="28">
        <f t="shared" si="6"/>
        <v>0</v>
      </c>
      <c r="L33" s="27">
        <v>0</v>
      </c>
      <c r="M33" s="28">
        <v>225000</v>
      </c>
      <c r="N33" s="28">
        <f t="shared" si="7"/>
        <v>0</v>
      </c>
      <c r="O33" s="29"/>
    </row>
    <row r="34" spans="2:15" ht="15.75">
      <c r="B34" s="22"/>
      <c r="C34" s="23"/>
      <c r="D34" s="24"/>
      <c r="E34" s="25"/>
      <c r="F34" s="24"/>
      <c r="G34" s="24"/>
      <c r="H34" s="26"/>
      <c r="I34" s="40"/>
      <c r="J34" s="28"/>
      <c r="K34" s="41"/>
      <c r="L34" s="40"/>
      <c r="M34" s="28"/>
      <c r="N34" s="41"/>
      <c r="O34" s="29"/>
    </row>
    <row r="35" spans="2:15" ht="15.75">
      <c r="B35" s="31"/>
      <c r="C35" s="32">
        <v>3</v>
      </c>
      <c r="D35" s="33" t="s">
        <v>30</v>
      </c>
      <c r="E35" s="42"/>
      <c r="F35" s="42"/>
      <c r="G35" s="42"/>
      <c r="H35" s="43"/>
      <c r="I35" s="36">
        <v>100000</v>
      </c>
      <c r="J35" s="38">
        <v>50000</v>
      </c>
      <c r="K35" s="38">
        <f>I35*J35</f>
        <v>5000000000</v>
      </c>
      <c r="L35" s="36">
        <v>5682</v>
      </c>
      <c r="M35" s="38">
        <v>50000</v>
      </c>
      <c r="N35" s="38">
        <f>L35*M35</f>
        <v>284100000</v>
      </c>
      <c r="O35" s="39">
        <f>N35/K35</f>
        <v>5.6820000000000002E-2</v>
      </c>
    </row>
    <row r="36" spans="2:15" ht="15.75">
      <c r="B36" s="22"/>
      <c r="C36" s="44"/>
      <c r="D36" s="45"/>
      <c r="E36" s="24"/>
      <c r="F36" s="24"/>
      <c r="G36" s="24"/>
      <c r="H36" s="26"/>
      <c r="I36" s="46"/>
      <c r="J36" s="28"/>
      <c r="K36" s="41"/>
      <c r="L36" s="46"/>
      <c r="M36" s="28"/>
      <c r="N36" s="41"/>
      <c r="O36" s="29"/>
    </row>
    <row r="37" spans="2:15" ht="15.75">
      <c r="B37" s="31"/>
      <c r="C37" s="32">
        <v>4</v>
      </c>
      <c r="D37" s="33" t="s">
        <v>31</v>
      </c>
      <c r="E37" s="34"/>
      <c r="F37" s="34"/>
      <c r="G37" s="34"/>
      <c r="H37" s="35"/>
      <c r="I37" s="36">
        <v>6000000</v>
      </c>
      <c r="J37" s="37"/>
      <c r="K37" s="38">
        <f>+K38+K41</f>
        <v>727309900000</v>
      </c>
      <c r="L37" s="36">
        <f>L38+L41</f>
        <v>229557</v>
      </c>
      <c r="M37" s="37"/>
      <c r="N37" s="38">
        <f>+N38+N41</f>
        <v>27063600000</v>
      </c>
      <c r="O37" s="39">
        <f t="shared" ref="O37:O43" si="8">N37/K37</f>
        <v>3.7210548075861473E-2</v>
      </c>
    </row>
    <row r="38" spans="2:15" ht="15.75">
      <c r="B38" s="22"/>
      <c r="C38" s="23"/>
      <c r="D38" s="47" t="s">
        <v>10</v>
      </c>
      <c r="E38" s="45" t="s">
        <v>32</v>
      </c>
      <c r="F38" s="24"/>
      <c r="G38" s="24"/>
      <c r="H38" s="26"/>
      <c r="I38" s="48">
        <v>4726901</v>
      </c>
      <c r="J38" s="49"/>
      <c r="K38" s="50">
        <f t="shared" ref="K38:L38" si="9">SUM(K39:K40)</f>
        <v>472690100000</v>
      </c>
      <c r="L38" s="48">
        <f t="shared" si="9"/>
        <v>188478</v>
      </c>
      <c r="M38" s="49"/>
      <c r="N38" s="50">
        <f>SUM(N39:N40)</f>
        <v>18847800000</v>
      </c>
      <c r="O38" s="29">
        <f t="shared" si="8"/>
        <v>3.9873481589735006E-2</v>
      </c>
    </row>
    <row r="39" spans="2:15" ht="15.75">
      <c r="B39" s="22"/>
      <c r="C39" s="23"/>
      <c r="D39" s="24"/>
      <c r="E39" s="24" t="s">
        <v>33</v>
      </c>
      <c r="F39" s="25" t="s">
        <v>34</v>
      </c>
      <c r="G39" s="24"/>
      <c r="H39" s="26"/>
      <c r="I39" s="27">
        <v>2267860</v>
      </c>
      <c r="J39" s="28">
        <v>100000</v>
      </c>
      <c r="K39" s="28">
        <f t="shared" ref="K39:K40" si="10">I39*J39</f>
        <v>226786000000</v>
      </c>
      <c r="L39" s="27">
        <v>46460</v>
      </c>
      <c r="M39" s="28">
        <v>100000</v>
      </c>
      <c r="N39" s="28">
        <f t="shared" ref="N39:N40" si="11">L39*M39</f>
        <v>4646000000</v>
      </c>
      <c r="O39" s="29">
        <f t="shared" si="8"/>
        <v>2.0486273403120123E-2</v>
      </c>
    </row>
    <row r="40" spans="2:15" ht="15.75">
      <c r="B40" s="22"/>
      <c r="C40" s="23"/>
      <c r="D40" s="24"/>
      <c r="E40" s="24" t="s">
        <v>35</v>
      </c>
      <c r="F40" s="25" t="s">
        <v>36</v>
      </c>
      <c r="G40" s="24"/>
      <c r="H40" s="26"/>
      <c r="I40" s="27">
        <v>2459041</v>
      </c>
      <c r="J40" s="28">
        <v>100000</v>
      </c>
      <c r="K40" s="28">
        <f t="shared" si="10"/>
        <v>245904100000</v>
      </c>
      <c r="L40" s="27">
        <v>142018</v>
      </c>
      <c r="M40" s="28">
        <v>100000</v>
      </c>
      <c r="N40" s="28">
        <f t="shared" si="11"/>
        <v>14201800000</v>
      </c>
      <c r="O40" s="29">
        <f t="shared" si="8"/>
        <v>5.7753408747556467E-2</v>
      </c>
    </row>
    <row r="41" spans="2:15" ht="15.75">
      <c r="B41" s="22"/>
      <c r="C41" s="23"/>
      <c r="D41" s="47" t="s">
        <v>12</v>
      </c>
      <c r="E41" s="45" t="s">
        <v>37</v>
      </c>
      <c r="F41" s="24"/>
      <c r="G41" s="24"/>
      <c r="H41" s="26"/>
      <c r="I41" s="48">
        <v>1273099</v>
      </c>
      <c r="J41" s="49"/>
      <c r="K41" s="50">
        <f t="shared" ref="K41:L41" si="12">SUM(K42:K43)</f>
        <v>254619800000</v>
      </c>
      <c r="L41" s="48">
        <f t="shared" si="12"/>
        <v>41079</v>
      </c>
      <c r="M41" s="49"/>
      <c r="N41" s="50">
        <f>SUM(N42:N43)</f>
        <v>8215800000</v>
      </c>
      <c r="O41" s="29">
        <f t="shared" si="8"/>
        <v>3.2266932893671267E-2</v>
      </c>
    </row>
    <row r="42" spans="2:15" ht="15.75">
      <c r="B42" s="22"/>
      <c r="C42" s="23"/>
      <c r="D42" s="24"/>
      <c r="E42" s="24" t="s">
        <v>33</v>
      </c>
      <c r="F42" s="25" t="s">
        <v>34</v>
      </c>
      <c r="G42" s="24"/>
      <c r="H42" s="26"/>
      <c r="I42" s="27">
        <v>626781</v>
      </c>
      <c r="J42" s="28">
        <v>200000</v>
      </c>
      <c r="K42" s="28">
        <f t="shared" ref="K42:K43" si="13">I42*J42</f>
        <v>125356200000</v>
      </c>
      <c r="L42" s="27">
        <v>5559</v>
      </c>
      <c r="M42" s="28">
        <v>200000</v>
      </c>
      <c r="N42" s="28">
        <f t="shared" ref="N42:N43" si="14">L42*M42</f>
        <v>1111800000</v>
      </c>
      <c r="O42" s="29">
        <f t="shared" si="8"/>
        <v>8.8691265370201069E-3</v>
      </c>
    </row>
    <row r="43" spans="2:15" ht="15.75">
      <c r="B43" s="22"/>
      <c r="C43" s="23"/>
      <c r="D43" s="24"/>
      <c r="E43" s="24" t="s">
        <v>35</v>
      </c>
      <c r="F43" s="25" t="s">
        <v>36</v>
      </c>
      <c r="G43" s="24"/>
      <c r="H43" s="26"/>
      <c r="I43" s="27">
        <v>646318</v>
      </c>
      <c r="J43" s="28">
        <v>200000</v>
      </c>
      <c r="K43" s="28">
        <f t="shared" si="13"/>
        <v>129263600000</v>
      </c>
      <c r="L43" s="27">
        <v>35520</v>
      </c>
      <c r="M43" s="28">
        <v>200000</v>
      </c>
      <c r="N43" s="28">
        <f t="shared" si="14"/>
        <v>7104000000</v>
      </c>
      <c r="O43" s="29">
        <f t="shared" si="8"/>
        <v>5.4957466757849849E-2</v>
      </c>
    </row>
    <row r="44" spans="2:15" ht="15.75">
      <c r="B44" s="51"/>
      <c r="C44" s="52"/>
      <c r="D44" s="53"/>
      <c r="E44" s="53"/>
      <c r="F44" s="54"/>
      <c r="G44" s="53"/>
      <c r="H44" s="55"/>
      <c r="I44" s="56"/>
      <c r="J44" s="57"/>
      <c r="K44" s="58"/>
      <c r="L44" s="56"/>
      <c r="M44" s="57"/>
      <c r="N44" s="58"/>
      <c r="O44" s="59"/>
    </row>
    <row r="45" spans="2:15" ht="15.75">
      <c r="B45" s="60"/>
      <c r="C45" s="61">
        <v>5</v>
      </c>
      <c r="D45" s="62" t="s">
        <v>38</v>
      </c>
      <c r="E45" s="63"/>
      <c r="F45" s="63"/>
      <c r="G45" s="63"/>
      <c r="H45" s="64"/>
      <c r="I45" s="65">
        <v>6000000</v>
      </c>
      <c r="J45" s="66"/>
      <c r="K45" s="65">
        <f>SUM(K46,K47)</f>
        <v>411586320000</v>
      </c>
      <c r="L45" s="65">
        <f>SUM(L46:L47)</f>
        <v>224468</v>
      </c>
      <c r="M45" s="66"/>
      <c r="N45" s="65">
        <f>SUM(N46,N47)</f>
        <v>15089080000</v>
      </c>
      <c r="O45" s="67">
        <f t="shared" ref="O45:O47" si="15">N45/K45</f>
        <v>3.6660790863991786E-2</v>
      </c>
    </row>
    <row r="46" spans="2:15" ht="15.75">
      <c r="B46" s="22"/>
      <c r="C46" s="23"/>
      <c r="D46" s="24" t="s">
        <v>10</v>
      </c>
      <c r="E46" s="25" t="s">
        <v>39</v>
      </c>
      <c r="F46" s="24"/>
      <c r="G46" s="24"/>
      <c r="H46" s="26"/>
      <c r="I46" s="48">
        <v>4710342</v>
      </c>
      <c r="J46" s="28">
        <v>60000</v>
      </c>
      <c r="K46" s="27">
        <f t="shared" ref="K46:K47" si="16">I46*J46</f>
        <v>282620520000</v>
      </c>
      <c r="L46" s="27">
        <v>183943</v>
      </c>
      <c r="M46" s="28">
        <v>60000</v>
      </c>
      <c r="N46" s="28">
        <f t="shared" ref="N46:N47" si="17">L46*M46</f>
        <v>11036580000</v>
      </c>
      <c r="O46" s="29">
        <f t="shared" si="15"/>
        <v>3.9050879957336429E-2</v>
      </c>
    </row>
    <row r="47" spans="2:15" ht="15.75">
      <c r="B47" s="22"/>
      <c r="C47" s="23"/>
      <c r="D47" s="24" t="s">
        <v>12</v>
      </c>
      <c r="E47" s="25" t="s">
        <v>40</v>
      </c>
      <c r="F47" s="24"/>
      <c r="G47" s="24"/>
      <c r="H47" s="26"/>
      <c r="I47" s="27">
        <v>1289658</v>
      </c>
      <c r="J47" s="28">
        <v>100000</v>
      </c>
      <c r="K47" s="28">
        <f t="shared" si="16"/>
        <v>128965800000</v>
      </c>
      <c r="L47" s="27">
        <v>40525</v>
      </c>
      <c r="M47" s="28">
        <v>100000</v>
      </c>
      <c r="N47" s="28">
        <f t="shared" si="17"/>
        <v>4052500000</v>
      </c>
      <c r="O47" s="29">
        <f t="shared" si="15"/>
        <v>3.1423059446768056E-2</v>
      </c>
    </row>
    <row r="48" spans="2:15" ht="15.75">
      <c r="B48" s="22"/>
      <c r="C48" s="23"/>
      <c r="D48" s="24"/>
      <c r="E48" s="25"/>
      <c r="F48" s="24"/>
      <c r="G48" s="24"/>
      <c r="H48" s="26"/>
      <c r="I48" s="27"/>
      <c r="J48" s="28"/>
      <c r="K48" s="28"/>
      <c r="L48" s="27"/>
      <c r="M48" s="28"/>
      <c r="N48" s="28"/>
      <c r="O48" s="29"/>
    </row>
    <row r="49" spans="2:15" ht="15.75">
      <c r="B49" s="31"/>
      <c r="C49" s="32">
        <v>6</v>
      </c>
      <c r="D49" s="33" t="s">
        <v>41</v>
      </c>
      <c r="E49" s="34"/>
      <c r="F49" s="34"/>
      <c r="G49" s="34"/>
      <c r="H49" s="35"/>
      <c r="I49" s="36">
        <v>1500000</v>
      </c>
      <c r="J49" s="37"/>
      <c r="K49" s="38">
        <f t="shared" ref="K49:L49" si="18">SUM(K50:K51)</f>
        <v>43861750000</v>
      </c>
      <c r="L49" s="36">
        <f t="shared" si="18"/>
        <v>52281</v>
      </c>
      <c r="M49" s="37"/>
      <c r="N49" s="38">
        <f>SUM(N50:N51)</f>
        <v>1454650000</v>
      </c>
      <c r="O49" s="39">
        <f t="shared" ref="O49:O51" si="19">N49/K49</f>
        <v>3.3164431423734805E-2</v>
      </c>
    </row>
    <row r="50" spans="2:15" ht="15.75">
      <c r="B50" s="22"/>
      <c r="C50" s="23"/>
      <c r="D50" s="24" t="s">
        <v>10</v>
      </c>
      <c r="E50" s="25" t="s">
        <v>39</v>
      </c>
      <c r="F50" s="24"/>
      <c r="G50" s="24"/>
      <c r="H50" s="26"/>
      <c r="I50" s="27">
        <v>1245530</v>
      </c>
      <c r="J50" s="28">
        <v>25000</v>
      </c>
      <c r="K50" s="28">
        <f t="shared" ref="K50:K51" si="20">I50*J50</f>
        <v>31138250000</v>
      </c>
      <c r="L50" s="27">
        <v>46376</v>
      </c>
      <c r="M50" s="28">
        <v>25000</v>
      </c>
      <c r="N50" s="28">
        <f t="shared" ref="N50:N51" si="21">L50*M50</f>
        <v>1159400000</v>
      </c>
      <c r="O50" s="29">
        <f t="shared" si="19"/>
        <v>3.7233948600194293E-2</v>
      </c>
    </row>
    <row r="51" spans="2:15" ht="15.75">
      <c r="B51" s="22"/>
      <c r="C51" s="23"/>
      <c r="D51" s="24" t="s">
        <v>12</v>
      </c>
      <c r="E51" s="25" t="s">
        <v>40</v>
      </c>
      <c r="F51" s="24"/>
      <c r="G51" s="24"/>
      <c r="H51" s="26"/>
      <c r="I51" s="27">
        <v>254470</v>
      </c>
      <c r="J51" s="28">
        <v>50000</v>
      </c>
      <c r="K51" s="28">
        <f t="shared" si="20"/>
        <v>12723500000</v>
      </c>
      <c r="L51" s="27">
        <v>5905</v>
      </c>
      <c r="M51" s="28">
        <v>50000</v>
      </c>
      <c r="N51" s="28">
        <f t="shared" si="21"/>
        <v>295250000</v>
      </c>
      <c r="O51" s="29">
        <f t="shared" si="19"/>
        <v>2.3205092938263842E-2</v>
      </c>
    </row>
    <row r="52" spans="2:15" ht="15.75">
      <c r="B52" s="22"/>
      <c r="C52" s="23"/>
      <c r="D52" s="24"/>
      <c r="E52" s="25"/>
      <c r="F52" s="24"/>
      <c r="G52" s="24"/>
      <c r="H52" s="26"/>
      <c r="I52" s="27"/>
      <c r="J52" s="49"/>
      <c r="K52" s="41"/>
      <c r="L52" s="27"/>
      <c r="M52" s="49"/>
      <c r="N52" s="41"/>
      <c r="O52" s="29"/>
    </row>
    <row r="53" spans="2:15" ht="15.75">
      <c r="B53" s="31"/>
      <c r="C53" s="32">
        <v>7</v>
      </c>
      <c r="D53" s="33" t="s">
        <v>42</v>
      </c>
      <c r="E53" s="34"/>
      <c r="F53" s="34"/>
      <c r="G53" s="34"/>
      <c r="H53" s="35"/>
      <c r="I53" s="36">
        <v>75000</v>
      </c>
      <c r="J53" s="37"/>
      <c r="K53" s="38">
        <f t="shared" ref="K53:L53" si="22">SUM(K54:K55)</f>
        <v>5024800000</v>
      </c>
      <c r="L53" s="36">
        <f t="shared" si="22"/>
        <v>4260</v>
      </c>
      <c r="M53" s="37"/>
      <c r="N53" s="38">
        <f>SUM(N54:N55)</f>
        <v>299120000</v>
      </c>
      <c r="O53" s="39">
        <f t="shared" ref="O53:O55" si="23">N53/K53</f>
        <v>5.952873746218755E-2</v>
      </c>
    </row>
    <row r="54" spans="2:15" ht="15.75">
      <c r="B54" s="22"/>
      <c r="C54" s="23"/>
      <c r="D54" s="24" t="s">
        <v>10</v>
      </c>
      <c r="E54" s="25" t="s">
        <v>39</v>
      </c>
      <c r="F54" s="24"/>
      <c r="G54" s="24"/>
      <c r="H54" s="26"/>
      <c r="I54" s="27">
        <v>61880</v>
      </c>
      <c r="J54" s="28">
        <v>60000</v>
      </c>
      <c r="K54" s="28">
        <f t="shared" ref="K54:K55" si="24">I54*J54</f>
        <v>3712800000</v>
      </c>
      <c r="L54" s="27">
        <v>3172</v>
      </c>
      <c r="M54" s="28">
        <v>60000</v>
      </c>
      <c r="N54" s="28">
        <f t="shared" ref="N54:N55" si="25">L54*M54</f>
        <v>190320000</v>
      </c>
      <c r="O54" s="29">
        <f t="shared" si="23"/>
        <v>5.1260504201680671E-2</v>
      </c>
    </row>
    <row r="55" spans="2:15" ht="15.75">
      <c r="B55" s="22"/>
      <c r="C55" s="23"/>
      <c r="D55" s="24" t="s">
        <v>12</v>
      </c>
      <c r="E55" s="25" t="s">
        <v>40</v>
      </c>
      <c r="F55" s="24"/>
      <c r="G55" s="24"/>
      <c r="H55" s="26"/>
      <c r="I55" s="27">
        <v>13120</v>
      </c>
      <c r="J55" s="28">
        <v>100000</v>
      </c>
      <c r="K55" s="28">
        <f t="shared" si="24"/>
        <v>1312000000</v>
      </c>
      <c r="L55" s="27">
        <v>1088</v>
      </c>
      <c r="M55" s="28">
        <v>100000</v>
      </c>
      <c r="N55" s="28">
        <f t="shared" si="25"/>
        <v>108800000</v>
      </c>
      <c r="O55" s="29">
        <f t="shared" si="23"/>
        <v>8.2926829268292687E-2</v>
      </c>
    </row>
    <row r="56" spans="2:15" ht="15.75">
      <c r="B56" s="22"/>
      <c r="C56" s="23"/>
      <c r="D56" s="24"/>
      <c r="E56" s="25"/>
      <c r="F56" s="24"/>
      <c r="G56" s="24"/>
      <c r="H56" s="26"/>
      <c r="I56" s="27"/>
      <c r="J56" s="49"/>
      <c r="K56" s="41"/>
      <c r="L56" s="27"/>
      <c r="M56" s="49"/>
      <c r="N56" s="41"/>
      <c r="O56" s="29"/>
    </row>
    <row r="57" spans="2:15" ht="15.75">
      <c r="B57" s="31"/>
      <c r="C57" s="32">
        <v>8</v>
      </c>
      <c r="D57" s="33" t="s">
        <v>43</v>
      </c>
      <c r="E57" s="34"/>
      <c r="F57" s="34"/>
      <c r="G57" s="34"/>
      <c r="H57" s="35"/>
      <c r="I57" s="36">
        <v>2400000</v>
      </c>
      <c r="J57" s="37"/>
      <c r="K57" s="38">
        <f t="shared" ref="K57:L57" si="26">+K58+K61</f>
        <v>607771500000</v>
      </c>
      <c r="L57" s="36">
        <f t="shared" si="26"/>
        <v>86213</v>
      </c>
      <c r="M57" s="37"/>
      <c r="N57" s="38">
        <f>+N58+N61</f>
        <v>21848325000</v>
      </c>
      <c r="O57" s="39">
        <f t="shared" ref="O57:O63" si="27">N57/K57</f>
        <v>3.5948255224208442E-2</v>
      </c>
    </row>
    <row r="58" spans="2:15" ht="15.75">
      <c r="B58" s="22"/>
      <c r="C58" s="23"/>
      <c r="D58" s="47" t="s">
        <v>10</v>
      </c>
      <c r="E58" s="45" t="s">
        <v>32</v>
      </c>
      <c r="F58" s="24"/>
      <c r="G58" s="24"/>
      <c r="H58" s="26"/>
      <c r="I58" s="48">
        <v>1948190</v>
      </c>
      <c r="J58" s="49"/>
      <c r="K58" s="50">
        <f t="shared" ref="K58:L58" si="28">K59+K60</f>
        <v>438342750000</v>
      </c>
      <c r="L58" s="48">
        <f t="shared" si="28"/>
        <v>69877</v>
      </c>
      <c r="M58" s="49"/>
      <c r="N58" s="50">
        <f>N59+N60</f>
        <v>15722325000</v>
      </c>
      <c r="O58" s="29">
        <f t="shared" si="27"/>
        <v>3.5867651512429488E-2</v>
      </c>
    </row>
    <row r="59" spans="2:15" ht="15.75">
      <c r="B59" s="22"/>
      <c r="C59" s="23"/>
      <c r="D59" s="24"/>
      <c r="E59" s="24" t="s">
        <v>33</v>
      </c>
      <c r="F59" s="25" t="s">
        <v>34</v>
      </c>
      <c r="G59" s="24"/>
      <c r="H59" s="26"/>
      <c r="I59" s="27">
        <v>1619192</v>
      </c>
      <c r="J59" s="28">
        <v>225000</v>
      </c>
      <c r="K59" s="28">
        <f t="shared" ref="K59:K60" si="29">I59*J59</f>
        <v>364318200000</v>
      </c>
      <c r="L59" s="27">
        <v>46457</v>
      </c>
      <c r="M59" s="28">
        <v>225000</v>
      </c>
      <c r="N59" s="28">
        <f t="shared" ref="N59:N60" si="30">L59*M59</f>
        <v>10452825000</v>
      </c>
      <c r="O59" s="29">
        <f t="shared" si="27"/>
        <v>2.8691470807662094E-2</v>
      </c>
    </row>
    <row r="60" spans="2:15" ht="15.75">
      <c r="B60" s="22"/>
      <c r="C60" s="23"/>
      <c r="D60" s="24"/>
      <c r="E60" s="24" t="s">
        <v>35</v>
      </c>
      <c r="F60" s="25" t="s">
        <v>44</v>
      </c>
      <c r="G60" s="24"/>
      <c r="H60" s="26"/>
      <c r="I60" s="27">
        <v>328998</v>
      </c>
      <c r="J60" s="28">
        <v>225000</v>
      </c>
      <c r="K60" s="28">
        <f t="shared" si="29"/>
        <v>74024550000</v>
      </c>
      <c r="L60" s="27">
        <v>23420</v>
      </c>
      <c r="M60" s="28">
        <v>225000</v>
      </c>
      <c r="N60" s="28">
        <f t="shared" si="30"/>
        <v>5269500000</v>
      </c>
      <c r="O60" s="29">
        <f t="shared" si="27"/>
        <v>7.1185843075033894E-2</v>
      </c>
    </row>
    <row r="61" spans="2:15" ht="15.75">
      <c r="B61" s="22"/>
      <c r="C61" s="23"/>
      <c r="D61" s="47" t="s">
        <v>12</v>
      </c>
      <c r="E61" s="45" t="s">
        <v>40</v>
      </c>
      <c r="F61" s="24"/>
      <c r="G61" s="24"/>
      <c r="H61" s="26"/>
      <c r="I61" s="48">
        <v>451810</v>
      </c>
      <c r="J61" s="49"/>
      <c r="K61" s="48">
        <f t="shared" ref="K61:L61" si="31">K62+K63</f>
        <v>169428750000</v>
      </c>
      <c r="L61" s="48">
        <f t="shared" si="31"/>
        <v>16336</v>
      </c>
      <c r="M61" s="49"/>
      <c r="N61" s="48">
        <f>N62+N63</f>
        <v>6126000000</v>
      </c>
      <c r="O61" s="29">
        <f t="shared" si="27"/>
        <v>3.6156791571678358E-2</v>
      </c>
    </row>
    <row r="62" spans="2:15" ht="15.75">
      <c r="B62" s="22"/>
      <c r="C62" s="23"/>
      <c r="D62" s="24"/>
      <c r="E62" s="24" t="s">
        <v>33</v>
      </c>
      <c r="F62" s="25" t="s">
        <v>34</v>
      </c>
      <c r="G62" s="24"/>
      <c r="H62" s="26"/>
      <c r="I62" s="27">
        <v>319858</v>
      </c>
      <c r="J62" s="28">
        <v>375000</v>
      </c>
      <c r="K62" s="28">
        <f t="shared" ref="K62:K63" si="32">I62*J62</f>
        <v>119946750000</v>
      </c>
      <c r="L62" s="27">
        <v>5541</v>
      </c>
      <c r="M62" s="28">
        <v>375000</v>
      </c>
      <c r="N62" s="28">
        <f t="shared" ref="N62:N63" si="33">L62*M62</f>
        <v>2077875000</v>
      </c>
      <c r="O62" s="29">
        <f t="shared" si="27"/>
        <v>1.7323312219797535E-2</v>
      </c>
    </row>
    <row r="63" spans="2:15" ht="15.75">
      <c r="B63" s="22"/>
      <c r="C63" s="23"/>
      <c r="D63" s="24"/>
      <c r="E63" s="24" t="s">
        <v>35</v>
      </c>
      <c r="F63" s="25" t="s">
        <v>44</v>
      </c>
      <c r="G63" s="24"/>
      <c r="H63" s="26"/>
      <c r="I63" s="27">
        <v>131952</v>
      </c>
      <c r="J63" s="28">
        <v>375000</v>
      </c>
      <c r="K63" s="28">
        <f t="shared" si="32"/>
        <v>49482000000</v>
      </c>
      <c r="L63" s="27">
        <v>10795</v>
      </c>
      <c r="M63" s="28">
        <v>375000</v>
      </c>
      <c r="N63" s="28">
        <f t="shared" si="33"/>
        <v>4048125000</v>
      </c>
      <c r="O63" s="29">
        <f t="shared" si="27"/>
        <v>8.1810052140172188E-2</v>
      </c>
    </row>
    <row r="64" spans="2:15" ht="15.75">
      <c r="B64" s="22"/>
      <c r="C64" s="23"/>
      <c r="D64" s="24"/>
      <c r="E64" s="24"/>
      <c r="F64" s="25"/>
      <c r="G64" s="24"/>
      <c r="H64" s="26"/>
      <c r="I64" s="27"/>
      <c r="J64" s="49"/>
      <c r="K64" s="41"/>
      <c r="L64" s="27"/>
      <c r="M64" s="49"/>
      <c r="N64" s="41"/>
      <c r="O64" s="29"/>
    </row>
    <row r="65" spans="2:15" ht="15.75">
      <c r="B65" s="31"/>
      <c r="C65" s="32">
        <v>9</v>
      </c>
      <c r="D65" s="33" t="s">
        <v>45</v>
      </c>
      <c r="E65" s="34"/>
      <c r="F65" s="34"/>
      <c r="G65" s="34"/>
      <c r="H65" s="35"/>
      <c r="I65" s="36">
        <v>250000</v>
      </c>
      <c r="J65" s="37"/>
      <c r="K65" s="38">
        <f t="shared" ref="K65:L65" si="34">SUM(K66:K67)</f>
        <v>50337200000</v>
      </c>
      <c r="L65" s="36">
        <f t="shared" si="34"/>
        <v>11803</v>
      </c>
      <c r="M65" s="37"/>
      <c r="N65" s="38">
        <f>SUM(N66:N67)</f>
        <v>2364650000</v>
      </c>
      <c r="O65" s="39">
        <f t="shared" ref="O65:O67" si="35">N65/K65</f>
        <v>4.6976192557392944E-2</v>
      </c>
    </row>
    <row r="66" spans="2:15" ht="15.75">
      <c r="B66" s="22"/>
      <c r="C66" s="23"/>
      <c r="D66" s="24" t="s">
        <v>10</v>
      </c>
      <c r="E66" s="25" t="s">
        <v>46</v>
      </c>
      <c r="F66" s="24"/>
      <c r="G66" s="24"/>
      <c r="H66" s="26"/>
      <c r="I66" s="27">
        <v>121628</v>
      </c>
      <c r="J66" s="28">
        <v>150000</v>
      </c>
      <c r="K66" s="28">
        <f t="shared" ref="K66:K67" si="36">I66*J66</f>
        <v>18244200000</v>
      </c>
      <c r="L66" s="27">
        <v>5861</v>
      </c>
      <c r="M66" s="28">
        <v>150000</v>
      </c>
      <c r="N66" s="28">
        <f t="shared" ref="N66:N67" si="37">L66*M66</f>
        <v>879150000</v>
      </c>
      <c r="O66" s="29">
        <f t="shared" si="35"/>
        <v>4.8187917255895024E-2</v>
      </c>
    </row>
    <row r="67" spans="2:15" ht="15.75">
      <c r="B67" s="22"/>
      <c r="C67" s="23"/>
      <c r="D67" s="24" t="s">
        <v>12</v>
      </c>
      <c r="E67" s="25" t="s">
        <v>40</v>
      </c>
      <c r="F67" s="24"/>
      <c r="G67" s="24"/>
      <c r="H67" s="26"/>
      <c r="I67" s="27">
        <v>128372</v>
      </c>
      <c r="J67" s="28">
        <v>250000</v>
      </c>
      <c r="K67" s="28">
        <f t="shared" si="36"/>
        <v>32093000000</v>
      </c>
      <c r="L67" s="27">
        <v>5942</v>
      </c>
      <c r="M67" s="28">
        <v>250000</v>
      </c>
      <c r="N67" s="28">
        <f t="shared" si="37"/>
        <v>1485500000</v>
      </c>
      <c r="O67" s="29">
        <f t="shared" si="35"/>
        <v>4.6287352382139407E-2</v>
      </c>
    </row>
    <row r="68" spans="2:15" ht="15.75">
      <c r="B68" s="22"/>
      <c r="C68" s="23"/>
      <c r="D68" s="24"/>
      <c r="E68" s="25"/>
      <c r="F68" s="24"/>
      <c r="G68" s="24"/>
      <c r="H68" s="26"/>
      <c r="I68" s="46"/>
      <c r="J68" s="49"/>
      <c r="K68" s="41"/>
      <c r="L68" s="46"/>
      <c r="M68" s="49"/>
      <c r="N68" s="41"/>
      <c r="O68" s="29"/>
    </row>
    <row r="69" spans="2:15" ht="15.75">
      <c r="B69" s="31"/>
      <c r="C69" s="32">
        <v>10</v>
      </c>
      <c r="D69" s="33" t="s">
        <v>47</v>
      </c>
      <c r="E69" s="34"/>
      <c r="F69" s="34"/>
      <c r="G69" s="34"/>
      <c r="H69" s="35"/>
      <c r="I69" s="36">
        <v>0</v>
      </c>
      <c r="J69" s="37"/>
      <c r="K69" s="38">
        <f t="shared" ref="K69:L69" si="38">+K70+K73</f>
        <v>0</v>
      </c>
      <c r="L69" s="36">
        <f t="shared" si="38"/>
        <v>0</v>
      </c>
      <c r="M69" s="37"/>
      <c r="N69" s="38">
        <f>+N70+N73</f>
        <v>0</v>
      </c>
      <c r="O69" s="39" t="e">
        <f t="shared" ref="O69:O75" si="39">N69/K69</f>
        <v>#DIV/0!</v>
      </c>
    </row>
    <row r="70" spans="2:15" ht="15.75">
      <c r="B70" s="22"/>
      <c r="C70" s="23"/>
      <c r="D70" s="47" t="s">
        <v>10</v>
      </c>
      <c r="E70" s="45" t="s">
        <v>46</v>
      </c>
      <c r="F70" s="24"/>
      <c r="G70" s="24"/>
      <c r="H70" s="26"/>
      <c r="I70" s="48">
        <v>0</v>
      </c>
      <c r="J70" s="49"/>
      <c r="K70" s="50">
        <f t="shared" ref="K70:L70" si="40">SUM(K71:K72)</f>
        <v>0</v>
      </c>
      <c r="L70" s="48">
        <f t="shared" si="40"/>
        <v>0</v>
      </c>
      <c r="M70" s="49"/>
      <c r="N70" s="50">
        <f>SUM(N71:N72)</f>
        <v>0</v>
      </c>
      <c r="O70" s="29" t="e">
        <f t="shared" si="39"/>
        <v>#DIV/0!</v>
      </c>
    </row>
    <row r="71" spans="2:15" ht="15.75">
      <c r="B71" s="22"/>
      <c r="C71" s="23"/>
      <c r="D71" s="24"/>
      <c r="E71" s="24" t="s">
        <v>33</v>
      </c>
      <c r="F71" s="25" t="s">
        <v>34</v>
      </c>
      <c r="G71" s="24"/>
      <c r="H71" s="26"/>
      <c r="I71" s="27">
        <v>0</v>
      </c>
      <c r="J71" s="28">
        <v>100000</v>
      </c>
      <c r="K71" s="28">
        <f t="shared" ref="K71:K72" si="41">I71*J71</f>
        <v>0</v>
      </c>
      <c r="L71" s="27">
        <f>'[1]L. MAT 09 STNKLBN'!G16</f>
        <v>0</v>
      </c>
      <c r="M71" s="28">
        <v>100000</v>
      </c>
      <c r="N71" s="28">
        <f t="shared" ref="N71:N72" si="42">L71*M71</f>
        <v>0</v>
      </c>
      <c r="O71" s="29" t="e">
        <f t="shared" si="39"/>
        <v>#DIV/0!</v>
      </c>
    </row>
    <row r="72" spans="2:15" ht="15.75">
      <c r="B72" s="22"/>
      <c r="C72" s="23"/>
      <c r="D72" s="24"/>
      <c r="E72" s="24" t="s">
        <v>35</v>
      </c>
      <c r="F72" s="25" t="s">
        <v>36</v>
      </c>
      <c r="G72" s="24"/>
      <c r="H72" s="26"/>
      <c r="I72" s="27">
        <v>0</v>
      </c>
      <c r="J72" s="28">
        <v>100000</v>
      </c>
      <c r="K72" s="28">
        <f t="shared" si="41"/>
        <v>0</v>
      </c>
      <c r="L72" s="27">
        <f>'[1]L. MAT 09 STNKLBN'!I16</f>
        <v>0</v>
      </c>
      <c r="M72" s="28">
        <v>100000</v>
      </c>
      <c r="N72" s="28">
        <f t="shared" si="42"/>
        <v>0</v>
      </c>
      <c r="O72" s="29" t="e">
        <f t="shared" si="39"/>
        <v>#DIV/0!</v>
      </c>
    </row>
    <row r="73" spans="2:15" ht="15.75">
      <c r="B73" s="22"/>
      <c r="C73" s="23"/>
      <c r="D73" s="47" t="s">
        <v>12</v>
      </c>
      <c r="E73" s="45" t="s">
        <v>40</v>
      </c>
      <c r="F73" s="24"/>
      <c r="G73" s="24"/>
      <c r="H73" s="26"/>
      <c r="I73" s="48">
        <v>0</v>
      </c>
      <c r="J73" s="49"/>
      <c r="K73" s="50">
        <f t="shared" ref="K73:L73" si="43">SUM(K74:K75)</f>
        <v>0</v>
      </c>
      <c r="L73" s="48">
        <f t="shared" si="43"/>
        <v>0</v>
      </c>
      <c r="M73" s="49"/>
      <c r="N73" s="50">
        <f>SUM(N74:N75)</f>
        <v>0</v>
      </c>
      <c r="O73" s="29" t="e">
        <f t="shared" si="39"/>
        <v>#DIV/0!</v>
      </c>
    </row>
    <row r="74" spans="2:15" ht="15.75">
      <c r="B74" s="22"/>
      <c r="C74" s="23"/>
      <c r="D74" s="24"/>
      <c r="E74" s="24" t="s">
        <v>33</v>
      </c>
      <c r="F74" s="25" t="s">
        <v>34</v>
      </c>
      <c r="G74" s="24"/>
      <c r="H74" s="26"/>
      <c r="I74" s="27">
        <v>0</v>
      </c>
      <c r="J74" s="28">
        <v>200000</v>
      </c>
      <c r="K74" s="28">
        <f t="shared" ref="K74:K75" si="44">I74*J74</f>
        <v>0</v>
      </c>
      <c r="L74" s="27">
        <f>'[1]L. MAT 09 STNKLBN'!H16</f>
        <v>0</v>
      </c>
      <c r="M74" s="28">
        <v>200000</v>
      </c>
      <c r="N74" s="28">
        <f t="shared" ref="N74:N75" si="45">L74*M74</f>
        <v>0</v>
      </c>
      <c r="O74" s="29" t="e">
        <f t="shared" si="39"/>
        <v>#DIV/0!</v>
      </c>
    </row>
    <row r="75" spans="2:15" ht="15.75">
      <c r="B75" s="22"/>
      <c r="C75" s="23"/>
      <c r="D75" s="24"/>
      <c r="E75" s="24" t="s">
        <v>35</v>
      </c>
      <c r="F75" s="25" t="s">
        <v>36</v>
      </c>
      <c r="G75" s="24"/>
      <c r="H75" s="26"/>
      <c r="I75" s="27">
        <v>0</v>
      </c>
      <c r="J75" s="28">
        <v>200000</v>
      </c>
      <c r="K75" s="28">
        <f t="shared" si="44"/>
        <v>0</v>
      </c>
      <c r="L75" s="27">
        <f>'[1]L. MAT 09 STNKLBN'!J16</f>
        <v>0</v>
      </c>
      <c r="M75" s="28">
        <v>200000</v>
      </c>
      <c r="N75" s="28">
        <f t="shared" si="45"/>
        <v>0</v>
      </c>
      <c r="O75" s="29" t="e">
        <f t="shared" si="39"/>
        <v>#DIV/0!</v>
      </c>
    </row>
    <row r="76" spans="2:15" ht="15.75">
      <c r="B76" s="51"/>
      <c r="C76" s="52"/>
      <c r="D76" s="53"/>
      <c r="E76" s="53"/>
      <c r="F76" s="54"/>
      <c r="G76" s="53"/>
      <c r="H76" s="55"/>
      <c r="I76" s="56"/>
      <c r="J76" s="68"/>
      <c r="K76" s="68"/>
      <c r="L76" s="56"/>
      <c r="M76" s="68"/>
      <c r="N76" s="68"/>
      <c r="O76" s="59"/>
    </row>
    <row r="77" spans="2:15" ht="15.75">
      <c r="B77" s="31"/>
      <c r="C77" s="32">
        <v>11</v>
      </c>
      <c r="D77" s="33" t="s">
        <v>48</v>
      </c>
      <c r="E77" s="42"/>
      <c r="F77" s="34"/>
      <c r="G77" s="34"/>
      <c r="H77" s="35"/>
      <c r="I77" s="36">
        <v>0</v>
      </c>
      <c r="J77" s="37"/>
      <c r="K77" s="38">
        <f t="shared" ref="K77:L77" si="46">K78+K81</f>
        <v>0</v>
      </c>
      <c r="L77" s="36">
        <f t="shared" si="46"/>
        <v>0</v>
      </c>
      <c r="M77" s="37"/>
      <c r="N77" s="38">
        <f>N78+N81</f>
        <v>0</v>
      </c>
      <c r="O77" s="39" t="e">
        <f t="shared" ref="O77:O83" si="47">N77/K77</f>
        <v>#DIV/0!</v>
      </c>
    </row>
    <row r="78" spans="2:15" ht="15.75">
      <c r="B78" s="22"/>
      <c r="C78" s="23"/>
      <c r="D78" s="47" t="s">
        <v>10</v>
      </c>
      <c r="E78" s="45" t="s">
        <v>46</v>
      </c>
      <c r="F78" s="24"/>
      <c r="G78" s="24"/>
      <c r="H78" s="26"/>
      <c r="I78" s="48">
        <v>0</v>
      </c>
      <c r="J78" s="49"/>
      <c r="K78" s="50">
        <f t="shared" ref="K78:L78" si="48">SUM(K79:K80)</f>
        <v>0</v>
      </c>
      <c r="L78" s="48">
        <f t="shared" si="48"/>
        <v>0</v>
      </c>
      <c r="M78" s="49"/>
      <c r="N78" s="50">
        <f>SUM(N79:N80)</f>
        <v>0</v>
      </c>
      <c r="O78" s="29" t="e">
        <f t="shared" si="47"/>
        <v>#DIV/0!</v>
      </c>
    </row>
    <row r="79" spans="2:15" ht="15.75">
      <c r="B79" s="22"/>
      <c r="C79" s="23"/>
      <c r="D79" s="24"/>
      <c r="E79" s="24" t="s">
        <v>33</v>
      </c>
      <c r="F79" s="25" t="s">
        <v>34</v>
      </c>
      <c r="G79" s="24"/>
      <c r="H79" s="26"/>
      <c r="I79" s="27">
        <v>0</v>
      </c>
      <c r="J79" s="28">
        <v>100000</v>
      </c>
      <c r="K79" s="28">
        <f t="shared" ref="K79:K80" si="49">I79*J79</f>
        <v>0</v>
      </c>
      <c r="L79" s="27">
        <f>'[1]L. MAT 10 TNKB LBN'!G16</f>
        <v>0</v>
      </c>
      <c r="M79" s="28">
        <v>100000</v>
      </c>
      <c r="N79" s="28">
        <f t="shared" ref="N79:N80" si="50">L79*M79</f>
        <v>0</v>
      </c>
      <c r="O79" s="29" t="e">
        <f t="shared" si="47"/>
        <v>#DIV/0!</v>
      </c>
    </row>
    <row r="80" spans="2:15" ht="15.75">
      <c r="B80" s="22"/>
      <c r="C80" s="23"/>
      <c r="D80" s="24"/>
      <c r="E80" s="24" t="s">
        <v>35</v>
      </c>
      <c r="F80" s="25" t="s">
        <v>36</v>
      </c>
      <c r="G80" s="24"/>
      <c r="H80" s="26"/>
      <c r="I80" s="27"/>
      <c r="J80" s="28">
        <v>100000</v>
      </c>
      <c r="K80" s="28">
        <f t="shared" si="49"/>
        <v>0</v>
      </c>
      <c r="L80" s="27">
        <f>'[1]L. MAT 10 TNKB LBN'!I16</f>
        <v>0</v>
      </c>
      <c r="M80" s="28">
        <v>100000</v>
      </c>
      <c r="N80" s="28">
        <f t="shared" si="50"/>
        <v>0</v>
      </c>
      <c r="O80" s="29" t="e">
        <f t="shared" si="47"/>
        <v>#DIV/0!</v>
      </c>
    </row>
    <row r="81" spans="2:15" ht="15.75">
      <c r="B81" s="22"/>
      <c r="C81" s="23"/>
      <c r="D81" s="47" t="s">
        <v>12</v>
      </c>
      <c r="E81" s="45" t="s">
        <v>40</v>
      </c>
      <c r="F81" s="24"/>
      <c r="G81" s="24"/>
      <c r="H81" s="26"/>
      <c r="I81" s="48">
        <v>0</v>
      </c>
      <c r="J81" s="49"/>
      <c r="K81" s="50">
        <f t="shared" ref="K81:L81" si="51">SUM(K82:K83)</f>
        <v>0</v>
      </c>
      <c r="L81" s="48">
        <f t="shared" si="51"/>
        <v>0</v>
      </c>
      <c r="M81" s="49"/>
      <c r="N81" s="50">
        <f>SUM(N82:N83)</f>
        <v>0</v>
      </c>
      <c r="O81" s="29" t="e">
        <f t="shared" si="47"/>
        <v>#DIV/0!</v>
      </c>
    </row>
    <row r="82" spans="2:15" ht="15.75">
      <c r="B82" s="22"/>
      <c r="C82" s="23"/>
      <c r="D82" s="24"/>
      <c r="E82" s="24" t="s">
        <v>33</v>
      </c>
      <c r="F82" s="25" t="s">
        <v>34</v>
      </c>
      <c r="G82" s="24"/>
      <c r="H82" s="26"/>
      <c r="I82" s="27">
        <v>0</v>
      </c>
      <c r="J82" s="28">
        <v>200000</v>
      </c>
      <c r="K82" s="28">
        <f t="shared" ref="K82:K83" si="52">I82*J82</f>
        <v>0</v>
      </c>
      <c r="L82" s="27">
        <f>'[1]L. MAT 10 TNKB LBN'!H16</f>
        <v>0</v>
      </c>
      <c r="M82" s="28">
        <v>200000</v>
      </c>
      <c r="N82" s="28">
        <f t="shared" ref="N82:N83" si="53">L82*M82</f>
        <v>0</v>
      </c>
      <c r="O82" s="29" t="e">
        <f t="shared" si="47"/>
        <v>#DIV/0!</v>
      </c>
    </row>
    <row r="83" spans="2:15" ht="15.75">
      <c r="B83" s="22"/>
      <c r="C83" s="23"/>
      <c r="D83" s="24"/>
      <c r="E83" s="24" t="s">
        <v>35</v>
      </c>
      <c r="F83" s="25" t="s">
        <v>36</v>
      </c>
      <c r="G83" s="24"/>
      <c r="H83" s="26"/>
      <c r="I83" s="27">
        <v>0</v>
      </c>
      <c r="J83" s="28">
        <v>200000</v>
      </c>
      <c r="K83" s="28">
        <f t="shared" si="52"/>
        <v>0</v>
      </c>
      <c r="L83" s="27">
        <f>'[1]L. MAT 10 TNKB LBN'!J16</f>
        <v>0</v>
      </c>
      <c r="M83" s="28">
        <v>200000</v>
      </c>
      <c r="N83" s="28">
        <f t="shared" si="53"/>
        <v>0</v>
      </c>
      <c r="O83" s="29" t="e">
        <f t="shared" si="47"/>
        <v>#DIV/0!</v>
      </c>
    </row>
    <row r="84" spans="2:15" ht="15.75">
      <c r="B84" s="22"/>
      <c r="C84" s="23"/>
      <c r="D84" s="24"/>
      <c r="E84" s="25"/>
      <c r="F84" s="24"/>
      <c r="G84" s="24"/>
      <c r="H84" s="26"/>
      <c r="I84" s="27"/>
      <c r="J84" s="49"/>
      <c r="K84" s="41"/>
      <c r="L84" s="27"/>
      <c r="M84" s="49"/>
      <c r="N84" s="41"/>
      <c r="O84" s="29"/>
    </row>
    <row r="85" spans="2:15" ht="15.75">
      <c r="B85" s="31"/>
      <c r="C85" s="32">
        <v>12</v>
      </c>
      <c r="D85" s="33" t="s">
        <v>49</v>
      </c>
      <c r="E85" s="42"/>
      <c r="F85" s="42"/>
      <c r="G85" s="42"/>
      <c r="H85" s="35"/>
      <c r="I85" s="36">
        <v>12000</v>
      </c>
      <c r="J85" s="37"/>
      <c r="K85" s="38">
        <f t="shared" ref="K85:L85" si="54">+K86+K89+K92+K95</f>
        <v>99500000000</v>
      </c>
      <c r="L85" s="36">
        <f t="shared" si="54"/>
        <v>510</v>
      </c>
      <c r="M85" s="37"/>
      <c r="N85" s="38">
        <f>+N86+N89+N92+N95</f>
        <v>4500000000</v>
      </c>
      <c r="O85" s="39">
        <f t="shared" ref="O85:O97" si="55">N85/K85</f>
        <v>4.5226130653266333E-2</v>
      </c>
    </row>
    <row r="86" spans="2:15" ht="15.75">
      <c r="B86" s="22"/>
      <c r="C86" s="23"/>
      <c r="D86" s="47" t="s">
        <v>10</v>
      </c>
      <c r="E86" s="45" t="s">
        <v>50</v>
      </c>
      <c r="F86" s="24"/>
      <c r="G86" s="24"/>
      <c r="H86" s="26"/>
      <c r="I86" s="48">
        <v>1053</v>
      </c>
      <c r="J86" s="49"/>
      <c r="K86" s="50">
        <f t="shared" ref="K86:L86" si="56">SUM(K87:K88)</f>
        <v>16585000000</v>
      </c>
      <c r="L86" s="48">
        <f t="shared" si="56"/>
        <v>58</v>
      </c>
      <c r="M86" s="49"/>
      <c r="N86" s="50">
        <f>SUM(N87:N88)</f>
        <v>870000000</v>
      </c>
      <c r="O86" s="29">
        <f t="shared" si="55"/>
        <v>5.2457039493518237E-2</v>
      </c>
    </row>
    <row r="87" spans="2:15" ht="15.75">
      <c r="B87" s="22"/>
      <c r="C87" s="23"/>
      <c r="D87" s="24"/>
      <c r="E87" s="24" t="s">
        <v>33</v>
      </c>
      <c r="F87" s="25" t="s">
        <v>51</v>
      </c>
      <c r="G87" s="24"/>
      <c r="H87" s="26"/>
      <c r="I87" s="27">
        <v>158</v>
      </c>
      <c r="J87" s="28">
        <v>20000000</v>
      </c>
      <c r="K87" s="28">
        <f t="shared" ref="K87:K88" si="57">I87*J87</f>
        <v>3160000000</v>
      </c>
      <c r="L87" s="27">
        <v>0</v>
      </c>
      <c r="M87" s="28">
        <v>20000000</v>
      </c>
      <c r="N87" s="28">
        <f t="shared" ref="N87:N88" si="58">L87*M87</f>
        <v>0</v>
      </c>
      <c r="O87" s="29">
        <f t="shared" si="55"/>
        <v>0</v>
      </c>
    </row>
    <row r="88" spans="2:15" ht="15.75">
      <c r="B88" s="22"/>
      <c r="C88" s="23"/>
      <c r="D88" s="24"/>
      <c r="E88" s="24" t="s">
        <v>35</v>
      </c>
      <c r="F88" s="25" t="s">
        <v>52</v>
      </c>
      <c r="G88" s="24"/>
      <c r="H88" s="26"/>
      <c r="I88" s="27">
        <v>895</v>
      </c>
      <c r="J88" s="28">
        <v>15000000</v>
      </c>
      <c r="K88" s="28">
        <f t="shared" si="57"/>
        <v>13425000000</v>
      </c>
      <c r="L88" s="27">
        <v>58</v>
      </c>
      <c r="M88" s="28">
        <v>15000000</v>
      </c>
      <c r="N88" s="28">
        <f t="shared" si="58"/>
        <v>870000000</v>
      </c>
      <c r="O88" s="29">
        <f t="shared" si="55"/>
        <v>6.4804469273743018E-2</v>
      </c>
    </row>
    <row r="89" spans="2:15" ht="15.75">
      <c r="B89" s="22"/>
      <c r="C89" s="23"/>
      <c r="D89" s="47" t="s">
        <v>12</v>
      </c>
      <c r="E89" s="45" t="s">
        <v>53</v>
      </c>
      <c r="F89" s="24"/>
      <c r="G89" s="24"/>
      <c r="H89" s="26"/>
      <c r="I89" s="48">
        <v>2383</v>
      </c>
      <c r="J89" s="49"/>
      <c r="K89" s="50">
        <f t="shared" ref="K89:L89" si="59">SUM(K90:K91)</f>
        <v>25435000000</v>
      </c>
      <c r="L89" s="48">
        <f t="shared" si="59"/>
        <v>121</v>
      </c>
      <c r="M89" s="49"/>
      <c r="N89" s="50">
        <f>SUM(N90:N91)</f>
        <v>1235000000</v>
      </c>
      <c r="O89" s="29">
        <f t="shared" si="55"/>
        <v>4.855514055435424E-2</v>
      </c>
    </row>
    <row r="90" spans="2:15" ht="15.75">
      <c r="B90" s="22"/>
      <c r="C90" s="23"/>
      <c r="D90" s="24"/>
      <c r="E90" s="24" t="s">
        <v>33</v>
      </c>
      <c r="F90" s="25" t="s">
        <v>51</v>
      </c>
      <c r="G90" s="24"/>
      <c r="H90" s="26"/>
      <c r="I90" s="27">
        <v>321</v>
      </c>
      <c r="J90" s="28">
        <v>15000000</v>
      </c>
      <c r="K90" s="28">
        <f t="shared" ref="K90:K91" si="60">I90*J90</f>
        <v>4815000000</v>
      </c>
      <c r="L90" s="27">
        <v>5</v>
      </c>
      <c r="M90" s="28">
        <v>15000000</v>
      </c>
      <c r="N90" s="28">
        <f t="shared" ref="N90:N91" si="61">L90*M90</f>
        <v>75000000</v>
      </c>
      <c r="O90" s="29">
        <f t="shared" si="55"/>
        <v>1.5576323987538941E-2</v>
      </c>
    </row>
    <row r="91" spans="2:15" ht="15">
      <c r="B91" s="69"/>
      <c r="C91" s="70"/>
      <c r="D91" s="25"/>
      <c r="E91" s="24" t="s">
        <v>35</v>
      </c>
      <c r="F91" s="25" t="s">
        <v>52</v>
      </c>
      <c r="G91" s="25"/>
      <c r="H91" s="71"/>
      <c r="I91" s="27">
        <v>2062</v>
      </c>
      <c r="J91" s="28">
        <v>10000000</v>
      </c>
      <c r="K91" s="28">
        <f t="shared" si="60"/>
        <v>20620000000</v>
      </c>
      <c r="L91" s="27">
        <v>116</v>
      </c>
      <c r="M91" s="28">
        <v>10000000</v>
      </c>
      <c r="N91" s="28">
        <f t="shared" si="61"/>
        <v>1160000000</v>
      </c>
      <c r="O91" s="29">
        <f t="shared" si="55"/>
        <v>5.6256062075654707E-2</v>
      </c>
    </row>
    <row r="92" spans="2:15" ht="15.75">
      <c r="B92" s="69"/>
      <c r="C92" s="70"/>
      <c r="D92" s="47" t="s">
        <v>14</v>
      </c>
      <c r="E92" s="45" t="s">
        <v>54</v>
      </c>
      <c r="F92" s="25"/>
      <c r="G92" s="25"/>
      <c r="H92" s="71"/>
      <c r="I92" s="48">
        <v>4609</v>
      </c>
      <c r="J92" s="28"/>
      <c r="K92" s="50">
        <f t="shared" ref="K92:L92" si="62">SUM(K93:K94)</f>
        <v>35915000000</v>
      </c>
      <c r="L92" s="48">
        <f t="shared" si="62"/>
        <v>259</v>
      </c>
      <c r="M92" s="28"/>
      <c r="N92" s="50">
        <f>SUM(N93:N94)</f>
        <v>1977500000</v>
      </c>
      <c r="O92" s="29">
        <f t="shared" si="55"/>
        <v>5.5060559654740361E-2</v>
      </c>
    </row>
    <row r="93" spans="2:15" ht="15">
      <c r="B93" s="69"/>
      <c r="C93" s="70"/>
      <c r="D93" s="24"/>
      <c r="E93" s="24" t="s">
        <v>33</v>
      </c>
      <c r="F93" s="25" t="s">
        <v>51</v>
      </c>
      <c r="G93" s="25"/>
      <c r="H93" s="71"/>
      <c r="I93" s="27">
        <v>539</v>
      </c>
      <c r="J93" s="28">
        <v>10000000</v>
      </c>
      <c r="K93" s="28">
        <f t="shared" ref="K93:K94" si="63">I93*J93</f>
        <v>5390000000</v>
      </c>
      <c r="L93" s="27">
        <v>14</v>
      </c>
      <c r="M93" s="28">
        <v>10000000</v>
      </c>
      <c r="N93" s="28">
        <f t="shared" ref="N93:N94" si="64">L93*M93</f>
        <v>140000000</v>
      </c>
      <c r="O93" s="29">
        <f t="shared" si="55"/>
        <v>2.5974025974025976E-2</v>
      </c>
    </row>
    <row r="94" spans="2:15" ht="15">
      <c r="B94" s="69"/>
      <c r="C94" s="70"/>
      <c r="D94" s="24"/>
      <c r="E94" s="24" t="s">
        <v>35</v>
      </c>
      <c r="F94" s="25" t="s">
        <v>52</v>
      </c>
      <c r="G94" s="25"/>
      <c r="H94" s="71"/>
      <c r="I94" s="27">
        <v>4070</v>
      </c>
      <c r="J94" s="28">
        <v>7500000</v>
      </c>
      <c r="K94" s="28">
        <f t="shared" si="63"/>
        <v>30525000000</v>
      </c>
      <c r="L94" s="27">
        <v>245</v>
      </c>
      <c r="M94" s="28">
        <v>7500000</v>
      </c>
      <c r="N94" s="28">
        <f t="shared" si="64"/>
        <v>1837500000</v>
      </c>
      <c r="O94" s="29">
        <f t="shared" si="55"/>
        <v>6.0196560196560195E-2</v>
      </c>
    </row>
    <row r="95" spans="2:15" ht="15.75">
      <c r="B95" s="69"/>
      <c r="C95" s="70"/>
      <c r="D95" s="47" t="s">
        <v>16</v>
      </c>
      <c r="E95" s="45" t="s">
        <v>55</v>
      </c>
      <c r="F95" s="25"/>
      <c r="G95" s="25"/>
      <c r="H95" s="71"/>
      <c r="I95" s="48">
        <v>3955</v>
      </c>
      <c r="J95" s="28"/>
      <c r="K95" s="50">
        <f t="shared" ref="K95:L95" si="65">SUM(K96:K97)</f>
        <v>21565000000</v>
      </c>
      <c r="L95" s="48">
        <f t="shared" si="65"/>
        <v>72</v>
      </c>
      <c r="M95" s="28"/>
      <c r="N95" s="50">
        <f>SUM(N96:N97)</f>
        <v>417500000</v>
      </c>
      <c r="O95" s="29">
        <f t="shared" si="55"/>
        <v>1.9360074194296313E-2</v>
      </c>
    </row>
    <row r="96" spans="2:15" ht="15">
      <c r="B96" s="69"/>
      <c r="C96" s="70"/>
      <c r="D96" s="25"/>
      <c r="E96" s="24" t="s">
        <v>33</v>
      </c>
      <c r="F96" s="25" t="s">
        <v>51</v>
      </c>
      <c r="G96" s="25"/>
      <c r="H96" s="71"/>
      <c r="I96" s="27">
        <v>716</v>
      </c>
      <c r="J96" s="28">
        <v>7500000</v>
      </c>
      <c r="K96" s="28">
        <f t="shared" ref="K96:K97" si="66">I96*J96</f>
        <v>5370000000</v>
      </c>
      <c r="L96" s="27">
        <v>23</v>
      </c>
      <c r="M96" s="28">
        <v>7500000</v>
      </c>
      <c r="N96" s="28">
        <f t="shared" ref="N96:N97" si="67">L96*M96</f>
        <v>172500000</v>
      </c>
      <c r="O96" s="29">
        <f t="shared" si="55"/>
        <v>3.2122905027932962E-2</v>
      </c>
    </row>
    <row r="97" spans="2:15" ht="15">
      <c r="B97" s="69"/>
      <c r="C97" s="70"/>
      <c r="D97" s="25"/>
      <c r="E97" s="24" t="s">
        <v>35</v>
      </c>
      <c r="F97" s="25" t="s">
        <v>52</v>
      </c>
      <c r="G97" s="25"/>
      <c r="H97" s="71"/>
      <c r="I97" s="27">
        <v>3239</v>
      </c>
      <c r="J97" s="28">
        <v>5000000</v>
      </c>
      <c r="K97" s="28">
        <f t="shared" si="66"/>
        <v>16195000000</v>
      </c>
      <c r="L97" s="27">
        <v>49</v>
      </c>
      <c r="M97" s="28">
        <v>5000000</v>
      </c>
      <c r="N97" s="28">
        <f t="shared" si="67"/>
        <v>245000000</v>
      </c>
      <c r="O97" s="29">
        <f t="shared" si="55"/>
        <v>1.5128125964803951E-2</v>
      </c>
    </row>
    <row r="98" spans="2:15" ht="15">
      <c r="B98" s="72"/>
      <c r="C98" s="73"/>
      <c r="D98" s="74"/>
      <c r="E98" s="74"/>
      <c r="F98" s="74"/>
      <c r="G98" s="74"/>
      <c r="H98" s="75"/>
      <c r="I98" s="76"/>
      <c r="J98" s="77"/>
      <c r="K98" s="78"/>
      <c r="L98" s="76"/>
      <c r="M98" s="77"/>
      <c r="N98" s="78"/>
      <c r="O98" s="79"/>
    </row>
    <row r="99" spans="2:15" ht="15.75">
      <c r="B99" s="80"/>
      <c r="C99" s="105" t="s">
        <v>56</v>
      </c>
      <c r="D99" s="103"/>
      <c r="E99" s="103"/>
      <c r="F99" s="103"/>
      <c r="G99" s="103"/>
      <c r="H99" s="104"/>
      <c r="I99" s="81">
        <f>SUM(I13,I24,I35,I37,I45,I49,I53,I57,I65,I69,I77,I85)</f>
        <v>19337001</v>
      </c>
      <c r="J99" s="81"/>
      <c r="K99" s="81">
        <f>SUM(K13,K24,K35,K37,K45,K49,K53,K57,K65,K69,K77,K85)</f>
        <v>2210588370000</v>
      </c>
      <c r="L99" s="81">
        <f>SUM(L13,L24,L35,L37,L45,L49,L53,L57,L65,L69,L77,L85)</f>
        <v>759551</v>
      </c>
      <c r="M99" s="81"/>
      <c r="N99" s="81">
        <f>SUM(N13,N24,N35,N37,N45,N49,N53,N57,N65,N69,N77,N85)</f>
        <v>85002705000</v>
      </c>
      <c r="O99" s="82">
        <f>N99/K99</f>
        <v>3.8452525198076563E-2</v>
      </c>
    </row>
    <row r="100" spans="2:15" ht="15.75">
      <c r="B100" s="83"/>
      <c r="C100" s="84"/>
      <c r="D100" s="84"/>
      <c r="E100" s="84"/>
      <c r="F100" s="84"/>
      <c r="G100" s="84"/>
      <c r="H100" s="84"/>
      <c r="I100" s="85"/>
      <c r="J100" s="84"/>
      <c r="K100" s="84"/>
      <c r="L100" s="85"/>
      <c r="M100" s="84"/>
      <c r="N100" s="86"/>
      <c r="O100" s="87"/>
    </row>
    <row r="101" spans="2:15" ht="15.75">
      <c r="B101" s="83"/>
      <c r="C101" s="88"/>
      <c r="D101" s="84"/>
      <c r="E101" s="84"/>
      <c r="F101" s="84"/>
      <c r="G101" s="84"/>
      <c r="H101" s="84"/>
      <c r="I101" s="84"/>
      <c r="J101" s="84"/>
      <c r="K101" s="84"/>
      <c r="L101" s="84"/>
      <c r="M101" s="106"/>
      <c r="N101" s="100"/>
      <c r="O101" s="100"/>
    </row>
    <row r="102" spans="2:15" ht="15.75">
      <c r="B102" s="101"/>
      <c r="C102" s="100"/>
      <c r="D102" s="100"/>
      <c r="E102" s="100"/>
      <c r="F102" s="100"/>
      <c r="G102" s="84"/>
      <c r="H102" s="84"/>
      <c r="I102" s="84"/>
      <c r="J102" s="84"/>
      <c r="K102" s="84"/>
      <c r="L102" s="84"/>
      <c r="M102" s="101"/>
      <c r="N102" s="100"/>
      <c r="O102" s="100"/>
    </row>
    <row r="103" spans="2:15" ht="15.75">
      <c r="B103" s="89"/>
      <c r="C103" s="89"/>
      <c r="D103" s="89"/>
      <c r="E103" s="84"/>
      <c r="F103" s="84"/>
      <c r="G103" s="84"/>
      <c r="H103" s="84"/>
      <c r="I103" s="86"/>
      <c r="J103" s="86"/>
      <c r="K103" s="86"/>
      <c r="L103" s="86"/>
      <c r="M103" s="89"/>
      <c r="N103" s="89"/>
      <c r="O103" s="89"/>
    </row>
    <row r="104" spans="2:15" ht="15.75">
      <c r="B104" s="101"/>
      <c r="C104" s="100"/>
      <c r="D104" s="100"/>
      <c r="E104" s="100"/>
      <c r="F104" s="100"/>
      <c r="G104" s="84"/>
      <c r="H104" s="84"/>
      <c r="I104" s="84"/>
      <c r="J104" s="84"/>
      <c r="K104" s="84"/>
      <c r="L104" s="84"/>
      <c r="M104" s="101"/>
      <c r="N104" s="100"/>
      <c r="O104" s="100"/>
    </row>
    <row r="105" spans="2:15" ht="15.75">
      <c r="B105" s="89"/>
      <c r="C105" s="89"/>
      <c r="D105" s="89"/>
      <c r="E105" s="84"/>
      <c r="F105" s="84"/>
      <c r="G105" s="84"/>
      <c r="H105" s="84"/>
      <c r="I105" s="84"/>
      <c r="J105" s="84"/>
      <c r="K105" s="84"/>
      <c r="L105" s="84"/>
      <c r="M105" s="89"/>
      <c r="N105" s="89"/>
      <c r="O105" s="89"/>
    </row>
    <row r="106" spans="2:15" ht="15.75">
      <c r="B106" s="99"/>
      <c r="C106" s="100"/>
      <c r="D106" s="100"/>
      <c r="E106" s="100"/>
      <c r="F106" s="100"/>
      <c r="G106" s="84"/>
      <c r="H106" s="84"/>
      <c r="I106" s="84"/>
      <c r="J106" s="84"/>
      <c r="K106" s="84"/>
      <c r="L106" s="84"/>
      <c r="M106" s="99"/>
      <c r="N106" s="100"/>
      <c r="O106" s="100"/>
    </row>
    <row r="107" spans="2:15" ht="15.75">
      <c r="B107" s="101"/>
      <c r="C107" s="100"/>
      <c r="D107" s="100"/>
      <c r="E107" s="100"/>
      <c r="F107" s="100"/>
      <c r="G107" s="84"/>
      <c r="H107" s="84"/>
      <c r="I107" s="84"/>
      <c r="J107" s="84"/>
      <c r="K107" s="84"/>
      <c r="L107" s="84"/>
      <c r="M107" s="101"/>
      <c r="N107" s="100"/>
      <c r="O107" s="100"/>
    </row>
  </sheetData>
  <mergeCells count="20">
    <mergeCell ref="B2:G5"/>
    <mergeCell ref="B6:O6"/>
    <mergeCell ref="B7:O7"/>
    <mergeCell ref="B9:H9"/>
    <mergeCell ref="B10:B11"/>
    <mergeCell ref="C10:H11"/>
    <mergeCell ref="I10:K10"/>
    <mergeCell ref="L10:N10"/>
    <mergeCell ref="O10:O11"/>
    <mergeCell ref="B106:F106"/>
    <mergeCell ref="M106:O106"/>
    <mergeCell ref="B107:F107"/>
    <mergeCell ref="M107:O107"/>
    <mergeCell ref="C12:H12"/>
    <mergeCell ref="C99:H99"/>
    <mergeCell ref="M101:O101"/>
    <mergeCell ref="B102:F102"/>
    <mergeCell ref="M102:O102"/>
    <mergeCell ref="B104:F104"/>
    <mergeCell ref="M104:O10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7"/>
  <sheetViews>
    <sheetView topLeftCell="G82" zoomScale="82" zoomScaleNormal="82" workbookViewId="0">
      <selection activeCell="L54" sqref="L54:L55"/>
    </sheetView>
  </sheetViews>
  <sheetFormatPr defaultRowHeight="14.25"/>
  <cols>
    <col min="2" max="2" width="5.875" customWidth="1"/>
    <col min="3" max="10" width="16.125" customWidth="1"/>
    <col min="11" max="11" width="26.25" customWidth="1"/>
    <col min="12" max="13" width="16.125" customWidth="1"/>
    <col min="14" max="14" width="20.75" customWidth="1"/>
    <col min="15" max="15" width="16.125" customWidth="1"/>
  </cols>
  <sheetData>
    <row r="1" spans="2:15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2:15" ht="15">
      <c r="B2" s="107"/>
      <c r="C2" s="108"/>
      <c r="D2" s="108"/>
      <c r="E2" s="108"/>
      <c r="F2" s="108"/>
      <c r="G2" s="108"/>
      <c r="H2" s="3"/>
      <c r="I2" s="3"/>
      <c r="J2" s="3"/>
      <c r="K2" s="3"/>
      <c r="L2" s="3"/>
      <c r="M2" s="3"/>
      <c r="N2" s="3"/>
      <c r="O2" s="4"/>
    </row>
    <row r="3" spans="2:15" ht="15">
      <c r="B3" s="108"/>
      <c r="C3" s="100"/>
      <c r="D3" s="100"/>
      <c r="E3" s="100"/>
      <c r="F3" s="100"/>
      <c r="G3" s="108"/>
      <c r="H3" s="3"/>
      <c r="I3" s="3"/>
      <c r="J3" s="3"/>
      <c r="K3" s="3"/>
      <c r="L3" s="3"/>
      <c r="M3" s="3"/>
      <c r="N3" s="3"/>
      <c r="O3" s="4"/>
    </row>
    <row r="4" spans="2:15" ht="15.75">
      <c r="B4" s="108"/>
      <c r="C4" s="100"/>
      <c r="D4" s="100"/>
      <c r="E4" s="100"/>
      <c r="F4" s="100"/>
      <c r="G4" s="108"/>
      <c r="H4" s="5"/>
      <c r="I4" s="3"/>
      <c r="J4" s="6"/>
      <c r="K4" s="7"/>
      <c r="L4" s="3"/>
      <c r="M4" s="6"/>
      <c r="N4" s="7"/>
      <c r="O4" s="4"/>
    </row>
    <row r="5" spans="2:15" ht="15.75">
      <c r="B5" s="108"/>
      <c r="C5" s="108"/>
      <c r="D5" s="108"/>
      <c r="E5" s="108"/>
      <c r="F5" s="108"/>
      <c r="G5" s="108"/>
      <c r="H5" s="5"/>
      <c r="I5" s="5"/>
      <c r="J5" s="8"/>
      <c r="K5" s="6"/>
      <c r="L5" s="5"/>
      <c r="M5" s="8"/>
      <c r="N5" s="6"/>
      <c r="O5" s="4"/>
    </row>
    <row r="6" spans="2:15" ht="15.75">
      <c r="B6" s="109" t="s">
        <v>57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</row>
    <row r="7" spans="2:15" ht="15.75">
      <c r="B7" s="110" t="s">
        <v>63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</row>
    <row r="8" spans="2:15" ht="15.7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ht="15.75">
      <c r="B9" s="111"/>
      <c r="C9" s="108"/>
      <c r="D9" s="108"/>
      <c r="E9" s="108"/>
      <c r="F9" s="108"/>
      <c r="G9" s="108"/>
      <c r="H9" s="108"/>
      <c r="I9" s="11"/>
      <c r="J9" s="9"/>
      <c r="K9" s="11"/>
      <c r="L9" s="11"/>
      <c r="M9" s="9"/>
      <c r="N9" s="11"/>
      <c r="O9" s="4"/>
    </row>
    <row r="10" spans="2:15" ht="15.75">
      <c r="B10" s="112" t="s">
        <v>0</v>
      </c>
      <c r="C10" s="114" t="s">
        <v>1</v>
      </c>
      <c r="D10" s="115"/>
      <c r="E10" s="115"/>
      <c r="F10" s="115"/>
      <c r="G10" s="115"/>
      <c r="H10" s="116"/>
      <c r="I10" s="120" t="s">
        <v>2</v>
      </c>
      <c r="J10" s="103"/>
      <c r="K10" s="104"/>
      <c r="L10" s="120" t="s">
        <v>3</v>
      </c>
      <c r="M10" s="103"/>
      <c r="N10" s="104"/>
      <c r="O10" s="121" t="s">
        <v>4</v>
      </c>
    </row>
    <row r="11" spans="2:15" ht="15.75">
      <c r="B11" s="113"/>
      <c r="C11" s="117"/>
      <c r="D11" s="118"/>
      <c r="E11" s="118"/>
      <c r="F11" s="118"/>
      <c r="G11" s="118"/>
      <c r="H11" s="119"/>
      <c r="I11" s="12" t="s">
        <v>5</v>
      </c>
      <c r="J11" s="12" t="s">
        <v>6</v>
      </c>
      <c r="K11" s="12" t="s">
        <v>7</v>
      </c>
      <c r="L11" s="12" t="s">
        <v>5</v>
      </c>
      <c r="M11" s="12" t="s">
        <v>6</v>
      </c>
      <c r="N11" s="12" t="s">
        <v>8</v>
      </c>
      <c r="O11" s="122"/>
    </row>
    <row r="12" spans="2:15" ht="15.75">
      <c r="B12" s="12">
        <v>1</v>
      </c>
      <c r="C12" s="102">
        <v>2</v>
      </c>
      <c r="D12" s="103"/>
      <c r="E12" s="103"/>
      <c r="F12" s="103"/>
      <c r="G12" s="103"/>
      <c r="H12" s="104"/>
      <c r="I12" s="12">
        <v>3</v>
      </c>
      <c r="J12" s="12">
        <v>4</v>
      </c>
      <c r="K12" s="12">
        <v>5</v>
      </c>
      <c r="L12" s="12">
        <v>3</v>
      </c>
      <c r="M12" s="12">
        <v>4</v>
      </c>
      <c r="N12" s="12">
        <v>5</v>
      </c>
      <c r="O12" s="12">
        <v>6</v>
      </c>
    </row>
    <row r="13" spans="2:15" ht="15.75">
      <c r="B13" s="13"/>
      <c r="C13" s="14">
        <v>1</v>
      </c>
      <c r="D13" s="15" t="s">
        <v>9</v>
      </c>
      <c r="E13" s="16"/>
      <c r="F13" s="16"/>
      <c r="G13" s="16"/>
      <c r="H13" s="17"/>
      <c r="I13" s="18">
        <v>1002980</v>
      </c>
      <c r="J13" s="19"/>
      <c r="K13" s="20">
        <f t="shared" ref="K13:L13" si="0">SUM(K14:K22)</f>
        <v>106956030000</v>
      </c>
      <c r="L13" s="18">
        <f t="shared" si="0"/>
        <v>40913</v>
      </c>
      <c r="M13" s="19"/>
      <c r="N13" s="20">
        <f>SUM(N14:N22)</f>
        <v>4402220000</v>
      </c>
      <c r="O13" s="21">
        <f t="shared" ref="O13:O22" si="1">N13/K13</f>
        <v>4.1159156711407484E-2</v>
      </c>
    </row>
    <row r="14" spans="2:15" ht="15.75">
      <c r="B14" s="22"/>
      <c r="C14" s="23"/>
      <c r="D14" s="24" t="s">
        <v>10</v>
      </c>
      <c r="E14" s="25" t="s">
        <v>11</v>
      </c>
      <c r="F14" s="24"/>
      <c r="G14" s="24"/>
      <c r="H14" s="26"/>
      <c r="I14" s="27">
        <v>294130</v>
      </c>
      <c r="J14" s="28">
        <v>120000</v>
      </c>
      <c r="K14" s="28">
        <f t="shared" ref="K14:K22" si="2">I14*J14</f>
        <v>35295600000</v>
      </c>
      <c r="L14" s="27">
        <v>13575</v>
      </c>
      <c r="M14" s="28">
        <v>120000</v>
      </c>
      <c r="N14" s="28">
        <f t="shared" ref="N14:N22" si="3">L14*M14</f>
        <v>1629000000</v>
      </c>
      <c r="O14" s="29">
        <f t="shared" si="1"/>
        <v>4.6153061571414002E-2</v>
      </c>
    </row>
    <row r="15" spans="2:15" ht="15.75">
      <c r="B15" s="22"/>
      <c r="C15" s="23"/>
      <c r="D15" s="24" t="s">
        <v>12</v>
      </c>
      <c r="E15" s="25" t="s">
        <v>13</v>
      </c>
      <c r="F15" s="24"/>
      <c r="G15" s="24"/>
      <c r="H15" s="26"/>
      <c r="I15" s="27">
        <v>30304</v>
      </c>
      <c r="J15" s="28">
        <v>120000</v>
      </c>
      <c r="K15" s="28">
        <f t="shared" si="2"/>
        <v>3636480000</v>
      </c>
      <c r="L15" s="27">
        <v>1505</v>
      </c>
      <c r="M15" s="28">
        <v>120000</v>
      </c>
      <c r="N15" s="28">
        <f t="shared" si="3"/>
        <v>180600000</v>
      </c>
      <c r="O15" s="29">
        <f t="shared" si="1"/>
        <v>4.9663410770855336E-2</v>
      </c>
    </row>
    <row r="16" spans="2:15" ht="15.75">
      <c r="B16" s="22"/>
      <c r="C16" s="23"/>
      <c r="D16" s="24" t="s">
        <v>14</v>
      </c>
      <c r="E16" s="25" t="s">
        <v>15</v>
      </c>
      <c r="F16" s="24"/>
      <c r="G16" s="24"/>
      <c r="H16" s="26"/>
      <c r="I16" s="27">
        <v>13370</v>
      </c>
      <c r="J16" s="28">
        <v>120000</v>
      </c>
      <c r="K16" s="28">
        <f t="shared" si="2"/>
        <v>1604400000</v>
      </c>
      <c r="L16" s="27">
        <v>491</v>
      </c>
      <c r="M16" s="28">
        <v>120000</v>
      </c>
      <c r="N16" s="28">
        <f t="shared" si="3"/>
        <v>58920000</v>
      </c>
      <c r="O16" s="29">
        <f t="shared" si="1"/>
        <v>3.6724008975317878E-2</v>
      </c>
    </row>
    <row r="17" spans="2:15" ht="15.75">
      <c r="B17" s="22"/>
      <c r="C17" s="23"/>
      <c r="D17" s="24" t="s">
        <v>16</v>
      </c>
      <c r="E17" s="25" t="s">
        <v>17</v>
      </c>
      <c r="F17" s="24"/>
      <c r="G17" s="24"/>
      <c r="H17" s="26"/>
      <c r="I17" s="27">
        <v>662649</v>
      </c>
      <c r="J17" s="28">
        <v>100000</v>
      </c>
      <c r="K17" s="28">
        <f t="shared" si="2"/>
        <v>66264900000</v>
      </c>
      <c r="L17" s="27">
        <v>25327</v>
      </c>
      <c r="M17" s="28">
        <v>100000</v>
      </c>
      <c r="N17" s="28">
        <f t="shared" si="3"/>
        <v>2532700000</v>
      </c>
      <c r="O17" s="29">
        <f t="shared" si="1"/>
        <v>3.822083787948069E-2</v>
      </c>
    </row>
    <row r="18" spans="2:15" ht="15.75">
      <c r="B18" s="22"/>
      <c r="C18" s="23"/>
      <c r="D18" s="24" t="s">
        <v>18</v>
      </c>
      <c r="E18" s="25" t="s">
        <v>19</v>
      </c>
      <c r="F18" s="24"/>
      <c r="G18" s="24"/>
      <c r="H18" s="26"/>
      <c r="I18" s="27">
        <v>299</v>
      </c>
      <c r="J18" s="28">
        <v>100000</v>
      </c>
      <c r="K18" s="28">
        <f t="shared" si="2"/>
        <v>29900000</v>
      </c>
      <c r="L18" s="27">
        <v>5</v>
      </c>
      <c r="M18" s="28">
        <v>100000</v>
      </c>
      <c r="N18" s="28">
        <f t="shared" si="3"/>
        <v>500000</v>
      </c>
      <c r="O18" s="29">
        <f t="shared" si="1"/>
        <v>1.6722408026755852E-2</v>
      </c>
    </row>
    <row r="19" spans="2:15" ht="15.75">
      <c r="B19" s="22"/>
      <c r="C19" s="23"/>
      <c r="D19" s="24" t="s">
        <v>20</v>
      </c>
      <c r="E19" s="25" t="s">
        <v>21</v>
      </c>
      <c r="F19" s="24"/>
      <c r="G19" s="24"/>
      <c r="H19" s="26"/>
      <c r="I19" s="27">
        <v>267</v>
      </c>
      <c r="J19" s="28">
        <v>100000</v>
      </c>
      <c r="K19" s="28">
        <f t="shared" si="2"/>
        <v>26700000</v>
      </c>
      <c r="L19" s="27">
        <v>0</v>
      </c>
      <c r="M19" s="28">
        <v>100000</v>
      </c>
      <c r="N19" s="28">
        <f t="shared" si="3"/>
        <v>0</v>
      </c>
      <c r="O19" s="29">
        <f t="shared" si="1"/>
        <v>0</v>
      </c>
    </row>
    <row r="20" spans="2:15" ht="15.75">
      <c r="B20" s="22"/>
      <c r="C20" s="23"/>
      <c r="D20" s="24" t="s">
        <v>22</v>
      </c>
      <c r="E20" s="25" t="s">
        <v>23</v>
      </c>
      <c r="F20" s="24"/>
      <c r="G20" s="24"/>
      <c r="H20" s="26"/>
      <c r="I20" s="27">
        <v>1925</v>
      </c>
      <c r="J20" s="28">
        <v>50000</v>
      </c>
      <c r="K20" s="28">
        <f t="shared" si="2"/>
        <v>96250000</v>
      </c>
      <c r="L20" s="27">
        <v>9</v>
      </c>
      <c r="M20" s="28">
        <v>50000</v>
      </c>
      <c r="N20" s="28">
        <f t="shared" si="3"/>
        <v>450000</v>
      </c>
      <c r="O20" s="29">
        <f t="shared" si="1"/>
        <v>4.6753246753246753E-3</v>
      </c>
    </row>
    <row r="21" spans="2:15" ht="15.75">
      <c r="B21" s="22"/>
      <c r="C21" s="23"/>
      <c r="D21" s="24" t="s">
        <v>24</v>
      </c>
      <c r="E21" s="25" t="s">
        <v>25</v>
      </c>
      <c r="F21" s="24"/>
      <c r="G21" s="24"/>
      <c r="H21" s="26"/>
      <c r="I21" s="27">
        <v>36</v>
      </c>
      <c r="J21" s="28">
        <v>50000</v>
      </c>
      <c r="K21" s="28">
        <f t="shared" si="2"/>
        <v>1800000</v>
      </c>
      <c r="L21" s="27">
        <v>1</v>
      </c>
      <c r="M21" s="28">
        <v>50000</v>
      </c>
      <c r="N21" s="28">
        <f t="shared" si="3"/>
        <v>50000</v>
      </c>
      <c r="O21" s="29">
        <f t="shared" si="1"/>
        <v>2.7777777777777776E-2</v>
      </c>
    </row>
    <row r="22" spans="2:15" ht="15.75">
      <c r="B22" s="22"/>
      <c r="C22" s="23"/>
      <c r="D22" s="24" t="s">
        <v>26</v>
      </c>
      <c r="E22" s="25" t="s">
        <v>27</v>
      </c>
      <c r="F22" s="24"/>
      <c r="G22" s="24"/>
      <c r="H22" s="26"/>
      <c r="I22" s="27">
        <v>0</v>
      </c>
      <c r="J22" s="28">
        <v>250000</v>
      </c>
      <c r="K22" s="28">
        <f t="shared" si="2"/>
        <v>0</v>
      </c>
      <c r="L22" s="27">
        <v>0</v>
      </c>
      <c r="M22" s="28">
        <v>250000</v>
      </c>
      <c r="N22" s="28">
        <f t="shared" si="3"/>
        <v>0</v>
      </c>
      <c r="O22" s="29" t="e">
        <f t="shared" si="1"/>
        <v>#DIV/0!</v>
      </c>
    </row>
    <row r="23" spans="2:15" ht="15.75">
      <c r="B23" s="22"/>
      <c r="C23" s="23"/>
      <c r="D23" s="24"/>
      <c r="E23" s="25"/>
      <c r="F23" s="24"/>
      <c r="G23" s="24"/>
      <c r="H23" s="26"/>
      <c r="I23" s="30"/>
      <c r="J23" s="28"/>
      <c r="K23" s="28"/>
      <c r="L23" s="30"/>
      <c r="M23" s="28"/>
      <c r="N23" s="28"/>
      <c r="O23" s="29"/>
    </row>
    <row r="24" spans="2:15" ht="15.75">
      <c r="B24" s="31"/>
      <c r="C24" s="32">
        <v>2</v>
      </c>
      <c r="D24" s="33" t="s">
        <v>28</v>
      </c>
      <c r="E24" s="34"/>
      <c r="F24" s="34"/>
      <c r="G24" s="34"/>
      <c r="H24" s="35"/>
      <c r="I24" s="36">
        <v>1997021</v>
      </c>
      <c r="J24" s="37"/>
      <c r="K24" s="38">
        <f t="shared" ref="K24:L24" si="4">SUM(K25:K33)</f>
        <v>153240870000</v>
      </c>
      <c r="L24" s="36">
        <f t="shared" si="4"/>
        <v>140080</v>
      </c>
      <c r="M24" s="37"/>
      <c r="N24" s="38">
        <f>SUM(N25:N33)</f>
        <v>10739465000</v>
      </c>
      <c r="O24" s="39">
        <f t="shared" ref="O24:O32" si="5">N24/K24</f>
        <v>7.0082250250863232E-2</v>
      </c>
    </row>
    <row r="25" spans="2:15" ht="15.75">
      <c r="B25" s="22"/>
      <c r="C25" s="23"/>
      <c r="D25" s="24" t="s">
        <v>10</v>
      </c>
      <c r="E25" s="25" t="s">
        <v>11</v>
      </c>
      <c r="F25" s="24"/>
      <c r="G25" s="24"/>
      <c r="H25" s="26"/>
      <c r="I25" s="27">
        <v>596792</v>
      </c>
      <c r="J25" s="28">
        <v>80000</v>
      </c>
      <c r="K25" s="28">
        <f t="shared" ref="K25:K33" si="6">I25*J25</f>
        <v>47743360000</v>
      </c>
      <c r="L25" s="27">
        <v>41758</v>
      </c>
      <c r="M25" s="28">
        <v>80000</v>
      </c>
      <c r="N25" s="28">
        <f t="shared" ref="N25:N33" si="7">L25*M25</f>
        <v>3340640000</v>
      </c>
      <c r="O25" s="29">
        <f t="shared" si="5"/>
        <v>6.9970777088164723E-2</v>
      </c>
    </row>
    <row r="26" spans="2:15" ht="15.75">
      <c r="B26" s="22"/>
      <c r="C26" s="23"/>
      <c r="D26" s="24" t="s">
        <v>12</v>
      </c>
      <c r="E26" s="25" t="s">
        <v>13</v>
      </c>
      <c r="F26" s="24"/>
      <c r="G26" s="24"/>
      <c r="H26" s="26"/>
      <c r="I26" s="27">
        <v>63576</v>
      </c>
      <c r="J26" s="28">
        <v>80000</v>
      </c>
      <c r="K26" s="28">
        <f t="shared" si="6"/>
        <v>5086080000</v>
      </c>
      <c r="L26" s="27">
        <v>3147</v>
      </c>
      <c r="M26" s="28">
        <v>80000</v>
      </c>
      <c r="N26" s="28">
        <f t="shared" si="7"/>
        <v>251760000</v>
      </c>
      <c r="O26" s="29">
        <f t="shared" si="5"/>
        <v>4.9499811249528125E-2</v>
      </c>
    </row>
    <row r="27" spans="2:15" ht="15.75">
      <c r="B27" s="22"/>
      <c r="C27" s="23"/>
      <c r="D27" s="24" t="s">
        <v>14</v>
      </c>
      <c r="E27" s="25" t="s">
        <v>15</v>
      </c>
      <c r="F27" s="24"/>
      <c r="G27" s="24"/>
      <c r="H27" s="26"/>
      <c r="I27" s="27">
        <v>35983</v>
      </c>
      <c r="J27" s="28">
        <v>80000</v>
      </c>
      <c r="K27" s="28">
        <f t="shared" si="6"/>
        <v>2878640000</v>
      </c>
      <c r="L27" s="27">
        <v>1986</v>
      </c>
      <c r="M27" s="28">
        <v>80000</v>
      </c>
      <c r="N27" s="28">
        <f t="shared" si="7"/>
        <v>158880000</v>
      </c>
      <c r="O27" s="29">
        <f t="shared" si="5"/>
        <v>5.5192729900230664E-2</v>
      </c>
    </row>
    <row r="28" spans="2:15" ht="15.75">
      <c r="B28" s="22"/>
      <c r="C28" s="23"/>
      <c r="D28" s="24" t="s">
        <v>16</v>
      </c>
      <c r="E28" s="25" t="s">
        <v>17</v>
      </c>
      <c r="F28" s="24"/>
      <c r="G28" s="24"/>
      <c r="H28" s="26"/>
      <c r="I28" s="27">
        <v>1296381</v>
      </c>
      <c r="J28" s="28">
        <v>75000</v>
      </c>
      <c r="K28" s="28">
        <f t="shared" si="6"/>
        <v>97228575000</v>
      </c>
      <c r="L28" s="27">
        <v>93165</v>
      </c>
      <c r="M28" s="28">
        <v>75000</v>
      </c>
      <c r="N28" s="28">
        <f t="shared" si="7"/>
        <v>6987375000</v>
      </c>
      <c r="O28" s="29">
        <f t="shared" si="5"/>
        <v>7.1865446963508411E-2</v>
      </c>
    </row>
    <row r="29" spans="2:15" ht="15.75">
      <c r="B29" s="22"/>
      <c r="C29" s="23"/>
      <c r="D29" s="24" t="s">
        <v>18</v>
      </c>
      <c r="E29" s="25" t="s">
        <v>19</v>
      </c>
      <c r="F29" s="24"/>
      <c r="G29" s="24"/>
      <c r="H29" s="26"/>
      <c r="I29" s="27">
        <v>3815</v>
      </c>
      <c r="J29" s="28">
        <v>75000</v>
      </c>
      <c r="K29" s="28">
        <f t="shared" si="6"/>
        <v>286125000</v>
      </c>
      <c r="L29" s="27">
        <v>0</v>
      </c>
      <c r="M29" s="28">
        <v>75000</v>
      </c>
      <c r="N29" s="28">
        <f t="shared" si="7"/>
        <v>0</v>
      </c>
      <c r="O29" s="29">
        <f t="shared" si="5"/>
        <v>0</v>
      </c>
    </row>
    <row r="30" spans="2:15" ht="15.75">
      <c r="B30" s="22"/>
      <c r="C30" s="23"/>
      <c r="D30" s="24" t="s">
        <v>20</v>
      </c>
      <c r="E30" s="25" t="s">
        <v>21</v>
      </c>
      <c r="F30" s="24"/>
      <c r="G30" s="24"/>
      <c r="H30" s="26"/>
      <c r="I30" s="27">
        <v>86</v>
      </c>
      <c r="J30" s="28">
        <v>75000</v>
      </c>
      <c r="K30" s="28">
        <f t="shared" si="6"/>
        <v>6450000</v>
      </c>
      <c r="L30" s="27">
        <v>2</v>
      </c>
      <c r="M30" s="28">
        <v>75000</v>
      </c>
      <c r="N30" s="28">
        <f t="shared" si="7"/>
        <v>150000</v>
      </c>
      <c r="O30" s="29">
        <f t="shared" si="5"/>
        <v>2.3255813953488372E-2</v>
      </c>
    </row>
    <row r="31" spans="2:15" ht="15.75">
      <c r="B31" s="22"/>
      <c r="C31" s="23"/>
      <c r="D31" s="24" t="s">
        <v>22</v>
      </c>
      <c r="E31" s="25" t="s">
        <v>23</v>
      </c>
      <c r="F31" s="24"/>
      <c r="G31" s="24"/>
      <c r="H31" s="26"/>
      <c r="I31" s="27">
        <v>360</v>
      </c>
      <c r="J31" s="28">
        <v>30000</v>
      </c>
      <c r="K31" s="28">
        <f t="shared" si="6"/>
        <v>10800000</v>
      </c>
      <c r="L31" s="27">
        <v>22</v>
      </c>
      <c r="M31" s="28">
        <v>30000</v>
      </c>
      <c r="N31" s="28">
        <f t="shared" si="7"/>
        <v>660000</v>
      </c>
      <c r="O31" s="29">
        <f t="shared" si="5"/>
        <v>6.1111111111111109E-2</v>
      </c>
    </row>
    <row r="32" spans="2:15" ht="15.75">
      <c r="B32" s="22"/>
      <c r="C32" s="23"/>
      <c r="D32" s="24" t="s">
        <v>24</v>
      </c>
      <c r="E32" s="25" t="s">
        <v>25</v>
      </c>
      <c r="F32" s="24"/>
      <c r="G32" s="24"/>
      <c r="H32" s="26"/>
      <c r="I32" s="27">
        <v>28</v>
      </c>
      <c r="J32" s="28">
        <v>30000</v>
      </c>
      <c r="K32" s="28">
        <f t="shared" si="6"/>
        <v>840000</v>
      </c>
      <c r="L32" s="27">
        <v>0</v>
      </c>
      <c r="M32" s="28">
        <v>30000</v>
      </c>
      <c r="N32" s="28">
        <f t="shared" si="7"/>
        <v>0</v>
      </c>
      <c r="O32" s="29">
        <f t="shared" si="5"/>
        <v>0</v>
      </c>
    </row>
    <row r="33" spans="2:15" ht="15.75">
      <c r="B33" s="22"/>
      <c r="C33" s="23"/>
      <c r="D33" s="24" t="s">
        <v>26</v>
      </c>
      <c r="E33" s="25" t="s">
        <v>29</v>
      </c>
      <c r="F33" s="24"/>
      <c r="G33" s="24"/>
      <c r="H33" s="26"/>
      <c r="I33" s="27">
        <v>0</v>
      </c>
      <c r="J33" s="28">
        <v>225000</v>
      </c>
      <c r="K33" s="28">
        <f t="shared" si="6"/>
        <v>0</v>
      </c>
      <c r="L33" s="27">
        <v>0</v>
      </c>
      <c r="M33" s="28">
        <v>225000</v>
      </c>
      <c r="N33" s="28">
        <f t="shared" si="7"/>
        <v>0</v>
      </c>
      <c r="O33" s="29"/>
    </row>
    <row r="34" spans="2:15" ht="15.75">
      <c r="B34" s="22"/>
      <c r="C34" s="23"/>
      <c r="D34" s="24"/>
      <c r="E34" s="25"/>
      <c r="F34" s="24"/>
      <c r="G34" s="24"/>
      <c r="H34" s="26"/>
      <c r="I34" s="40"/>
      <c r="J34" s="28"/>
      <c r="K34" s="41"/>
      <c r="L34" s="40"/>
      <c r="M34" s="28"/>
      <c r="N34" s="41"/>
      <c r="O34" s="29"/>
    </row>
    <row r="35" spans="2:15" ht="15.75">
      <c r="B35" s="31"/>
      <c r="C35" s="32">
        <v>3</v>
      </c>
      <c r="D35" s="33" t="s">
        <v>30</v>
      </c>
      <c r="E35" s="42"/>
      <c r="F35" s="42"/>
      <c r="G35" s="42"/>
      <c r="H35" s="43"/>
      <c r="I35" s="36">
        <v>100000</v>
      </c>
      <c r="J35" s="38">
        <v>50000</v>
      </c>
      <c r="K35" s="38">
        <f>I35*J35</f>
        <v>5000000000</v>
      </c>
      <c r="L35" s="36">
        <v>7337</v>
      </c>
      <c r="M35" s="38">
        <v>50000</v>
      </c>
      <c r="N35" s="38">
        <f>L35*M35</f>
        <v>366850000</v>
      </c>
      <c r="O35" s="39">
        <f>N35/K35</f>
        <v>7.3370000000000005E-2</v>
      </c>
    </row>
    <row r="36" spans="2:15" ht="15.75">
      <c r="B36" s="22"/>
      <c r="C36" s="44"/>
      <c r="D36" s="45"/>
      <c r="E36" s="24"/>
      <c r="F36" s="24"/>
      <c r="G36" s="24"/>
      <c r="H36" s="26"/>
      <c r="I36" s="46"/>
      <c r="J36" s="28"/>
      <c r="K36" s="41"/>
      <c r="L36" s="46"/>
      <c r="M36" s="28"/>
      <c r="N36" s="41"/>
      <c r="O36" s="29"/>
    </row>
    <row r="37" spans="2:15" ht="15.75">
      <c r="B37" s="31"/>
      <c r="C37" s="32">
        <v>4</v>
      </c>
      <c r="D37" s="33" t="s">
        <v>31</v>
      </c>
      <c r="E37" s="34"/>
      <c r="F37" s="34"/>
      <c r="G37" s="34"/>
      <c r="H37" s="35"/>
      <c r="I37" s="36">
        <v>6000000</v>
      </c>
      <c r="J37" s="37"/>
      <c r="K37" s="38">
        <f>+K38+K41</f>
        <v>727309900000</v>
      </c>
      <c r="L37" s="36">
        <f>L38+L41</f>
        <v>271321</v>
      </c>
      <c r="M37" s="37"/>
      <c r="N37" s="38">
        <f>+N38+N41</f>
        <v>32009900000</v>
      </c>
      <c r="O37" s="39">
        <f t="shared" ref="O37:O43" si="8">N37/K37</f>
        <v>4.4011362969210238E-2</v>
      </c>
    </row>
    <row r="38" spans="2:15" ht="15.75">
      <c r="B38" s="22"/>
      <c r="C38" s="23"/>
      <c r="D38" s="47" t="s">
        <v>10</v>
      </c>
      <c r="E38" s="45" t="s">
        <v>32</v>
      </c>
      <c r="F38" s="24"/>
      <c r="G38" s="24"/>
      <c r="H38" s="26"/>
      <c r="I38" s="48">
        <v>4726901</v>
      </c>
      <c r="J38" s="49"/>
      <c r="K38" s="50">
        <f t="shared" ref="K38:L38" si="9">SUM(K39:K40)</f>
        <v>472690100000</v>
      </c>
      <c r="L38" s="48">
        <f t="shared" si="9"/>
        <v>222543</v>
      </c>
      <c r="M38" s="49"/>
      <c r="N38" s="50">
        <f>SUM(N39:N40)</f>
        <v>22254300000</v>
      </c>
      <c r="O38" s="29">
        <f t="shared" si="8"/>
        <v>4.7080105972179237E-2</v>
      </c>
    </row>
    <row r="39" spans="2:15" ht="15.75">
      <c r="B39" s="22"/>
      <c r="C39" s="23"/>
      <c r="D39" s="24"/>
      <c r="E39" s="24" t="s">
        <v>33</v>
      </c>
      <c r="F39" s="25" t="s">
        <v>34</v>
      </c>
      <c r="G39" s="24"/>
      <c r="H39" s="26"/>
      <c r="I39" s="27">
        <v>2267860</v>
      </c>
      <c r="J39" s="28">
        <v>100000</v>
      </c>
      <c r="K39" s="28">
        <f t="shared" ref="K39:K40" si="10">I39*J39</f>
        <v>226786000000</v>
      </c>
      <c r="L39" s="27">
        <v>54025</v>
      </c>
      <c r="M39" s="28">
        <v>100000</v>
      </c>
      <c r="N39" s="28">
        <f t="shared" ref="N39:N40" si="11">L39*M39</f>
        <v>5402500000</v>
      </c>
      <c r="O39" s="29">
        <f t="shared" si="8"/>
        <v>2.3822017232104274E-2</v>
      </c>
    </row>
    <row r="40" spans="2:15" ht="15.75">
      <c r="B40" s="22"/>
      <c r="C40" s="23"/>
      <c r="D40" s="24"/>
      <c r="E40" s="24" t="s">
        <v>35</v>
      </c>
      <c r="F40" s="25" t="s">
        <v>36</v>
      </c>
      <c r="G40" s="24"/>
      <c r="H40" s="26"/>
      <c r="I40" s="27">
        <v>2459041</v>
      </c>
      <c r="J40" s="28">
        <v>100000</v>
      </c>
      <c r="K40" s="28">
        <f t="shared" si="10"/>
        <v>245904100000</v>
      </c>
      <c r="L40" s="27">
        <v>168518</v>
      </c>
      <c r="M40" s="28">
        <v>100000</v>
      </c>
      <c r="N40" s="28">
        <f t="shared" si="11"/>
        <v>16851800000</v>
      </c>
      <c r="O40" s="29">
        <f t="shared" si="8"/>
        <v>6.8529967576791112E-2</v>
      </c>
    </row>
    <row r="41" spans="2:15" ht="15.75">
      <c r="B41" s="22"/>
      <c r="C41" s="23"/>
      <c r="D41" s="47" t="s">
        <v>12</v>
      </c>
      <c r="E41" s="45" t="s">
        <v>37</v>
      </c>
      <c r="F41" s="24"/>
      <c r="G41" s="24"/>
      <c r="H41" s="26"/>
      <c r="I41" s="48">
        <v>1273099</v>
      </c>
      <c r="J41" s="49"/>
      <c r="K41" s="50">
        <f t="shared" ref="K41:L41" si="12">SUM(K42:K43)</f>
        <v>254619800000</v>
      </c>
      <c r="L41" s="48">
        <f t="shared" si="12"/>
        <v>48778</v>
      </c>
      <c r="M41" s="49"/>
      <c r="N41" s="50">
        <f>SUM(N42:N43)</f>
        <v>9755600000</v>
      </c>
      <c r="O41" s="29">
        <f t="shared" si="8"/>
        <v>3.8314380892609294E-2</v>
      </c>
    </row>
    <row r="42" spans="2:15" ht="15.75">
      <c r="B42" s="22"/>
      <c r="C42" s="23"/>
      <c r="D42" s="24"/>
      <c r="E42" s="24" t="s">
        <v>33</v>
      </c>
      <c r="F42" s="25" t="s">
        <v>34</v>
      </c>
      <c r="G42" s="24"/>
      <c r="H42" s="26"/>
      <c r="I42" s="27">
        <v>626781</v>
      </c>
      <c r="J42" s="28">
        <v>200000</v>
      </c>
      <c r="K42" s="28">
        <f t="shared" ref="K42:K43" si="13">I42*J42</f>
        <v>125356200000</v>
      </c>
      <c r="L42" s="27">
        <v>6333</v>
      </c>
      <c r="M42" s="28">
        <v>200000</v>
      </c>
      <c r="N42" s="28">
        <f t="shared" ref="N42:N43" si="14">L42*M42</f>
        <v>1266600000</v>
      </c>
      <c r="O42" s="29">
        <f t="shared" si="8"/>
        <v>1.0104007619886371E-2</v>
      </c>
    </row>
    <row r="43" spans="2:15" ht="15.75">
      <c r="B43" s="22"/>
      <c r="C43" s="23"/>
      <c r="D43" s="24"/>
      <c r="E43" s="24" t="s">
        <v>35</v>
      </c>
      <c r="F43" s="25" t="s">
        <v>36</v>
      </c>
      <c r="G43" s="24"/>
      <c r="H43" s="26"/>
      <c r="I43" s="27">
        <v>646318</v>
      </c>
      <c r="J43" s="28">
        <v>200000</v>
      </c>
      <c r="K43" s="28">
        <f t="shared" si="13"/>
        <v>129263600000</v>
      </c>
      <c r="L43" s="27">
        <v>42445</v>
      </c>
      <c r="M43" s="28">
        <v>200000</v>
      </c>
      <c r="N43" s="28">
        <f t="shared" si="14"/>
        <v>8489000000</v>
      </c>
      <c r="O43" s="29">
        <f t="shared" si="8"/>
        <v>6.5672006659260609E-2</v>
      </c>
    </row>
    <row r="44" spans="2:15" ht="15.75">
      <c r="B44" s="51"/>
      <c r="C44" s="52"/>
      <c r="D44" s="53"/>
      <c r="E44" s="53"/>
      <c r="F44" s="54"/>
      <c r="G44" s="53"/>
      <c r="H44" s="55"/>
      <c r="I44" s="56"/>
      <c r="J44" s="57"/>
      <c r="K44" s="58"/>
      <c r="L44" s="56"/>
      <c r="M44" s="57"/>
      <c r="N44" s="58"/>
      <c r="O44" s="59"/>
    </row>
    <row r="45" spans="2:15" ht="15.75">
      <c r="B45" s="60"/>
      <c r="C45" s="61">
        <v>5</v>
      </c>
      <c r="D45" s="62" t="s">
        <v>38</v>
      </c>
      <c r="E45" s="63"/>
      <c r="F45" s="63"/>
      <c r="G45" s="63"/>
      <c r="H45" s="64"/>
      <c r="I45" s="65">
        <v>6000000</v>
      </c>
      <c r="J45" s="66"/>
      <c r="K45" s="65">
        <f>SUM(K46,K47)</f>
        <v>411586320000</v>
      </c>
      <c r="L45" s="65">
        <f>SUM(L46:L47)</f>
        <v>265695</v>
      </c>
      <c r="M45" s="66"/>
      <c r="N45" s="65">
        <f>SUM(N46,N47)</f>
        <v>17866420000</v>
      </c>
      <c r="O45" s="67">
        <f t="shared" ref="O45:O47" si="15">N45/K45</f>
        <v>4.3408682776434358E-2</v>
      </c>
    </row>
    <row r="46" spans="2:15" ht="15.75">
      <c r="B46" s="22"/>
      <c r="C46" s="23"/>
      <c r="D46" s="24" t="s">
        <v>10</v>
      </c>
      <c r="E46" s="25" t="s">
        <v>39</v>
      </c>
      <c r="F46" s="24"/>
      <c r="G46" s="24"/>
      <c r="H46" s="26"/>
      <c r="I46" s="48">
        <v>4710342</v>
      </c>
      <c r="J46" s="28">
        <v>60000</v>
      </c>
      <c r="K46" s="27">
        <f t="shared" ref="K46:K47" si="16">I46*J46</f>
        <v>282620520000</v>
      </c>
      <c r="L46" s="27">
        <v>217577</v>
      </c>
      <c r="M46" s="28">
        <v>60000</v>
      </c>
      <c r="N46" s="28">
        <f t="shared" ref="N46:N47" si="17">L46*M46</f>
        <v>13054620000</v>
      </c>
      <c r="O46" s="29">
        <f t="shared" si="15"/>
        <v>4.6191338123643677E-2</v>
      </c>
    </row>
    <row r="47" spans="2:15" ht="15.75">
      <c r="B47" s="22"/>
      <c r="C47" s="23"/>
      <c r="D47" s="24" t="s">
        <v>12</v>
      </c>
      <c r="E47" s="25" t="s">
        <v>40</v>
      </c>
      <c r="F47" s="24"/>
      <c r="G47" s="24"/>
      <c r="H47" s="26"/>
      <c r="I47" s="27">
        <v>1289658</v>
      </c>
      <c r="J47" s="28">
        <v>100000</v>
      </c>
      <c r="K47" s="28">
        <f t="shared" si="16"/>
        <v>128965800000</v>
      </c>
      <c r="L47" s="27">
        <v>48118</v>
      </c>
      <c r="M47" s="28">
        <v>100000</v>
      </c>
      <c r="N47" s="28">
        <f t="shared" si="17"/>
        <v>4811800000</v>
      </c>
      <c r="O47" s="29">
        <f t="shared" si="15"/>
        <v>3.731066685896571E-2</v>
      </c>
    </row>
    <row r="48" spans="2:15" ht="15.75">
      <c r="B48" s="22"/>
      <c r="C48" s="23"/>
      <c r="D48" s="24"/>
      <c r="E48" s="25"/>
      <c r="F48" s="24"/>
      <c r="G48" s="24"/>
      <c r="H48" s="26"/>
      <c r="I48" s="27"/>
      <c r="J48" s="28"/>
      <c r="K48" s="28"/>
      <c r="L48" s="27"/>
      <c r="M48" s="28"/>
      <c r="N48" s="28"/>
      <c r="O48" s="29"/>
    </row>
    <row r="49" spans="2:15" ht="15.75">
      <c r="B49" s="31"/>
      <c r="C49" s="32">
        <v>6</v>
      </c>
      <c r="D49" s="33" t="s">
        <v>41</v>
      </c>
      <c r="E49" s="34"/>
      <c r="F49" s="34"/>
      <c r="G49" s="34"/>
      <c r="H49" s="35"/>
      <c r="I49" s="36">
        <v>1500000</v>
      </c>
      <c r="J49" s="37"/>
      <c r="K49" s="38">
        <f t="shared" ref="K49:L49" si="18">SUM(K50:K51)</f>
        <v>43861750000</v>
      </c>
      <c r="L49" s="36">
        <f t="shared" si="18"/>
        <v>60902</v>
      </c>
      <c r="M49" s="37"/>
      <c r="N49" s="38">
        <f>SUM(N50:N51)</f>
        <v>1697725000</v>
      </c>
      <c r="O49" s="39">
        <f t="shared" ref="O49:O51" si="19">N49/K49</f>
        <v>3.8706275969381067E-2</v>
      </c>
    </row>
    <row r="50" spans="2:15" ht="15.75">
      <c r="B50" s="22"/>
      <c r="C50" s="23"/>
      <c r="D50" s="24" t="s">
        <v>10</v>
      </c>
      <c r="E50" s="25" t="s">
        <v>39</v>
      </c>
      <c r="F50" s="24"/>
      <c r="G50" s="24"/>
      <c r="H50" s="26"/>
      <c r="I50" s="27">
        <v>1245530</v>
      </c>
      <c r="J50" s="28">
        <v>25000</v>
      </c>
      <c r="K50" s="28">
        <f t="shared" ref="K50:K51" si="20">I50*J50</f>
        <v>31138250000</v>
      </c>
      <c r="L50" s="27">
        <v>53895</v>
      </c>
      <c r="M50" s="28">
        <v>25000</v>
      </c>
      <c r="N50" s="28">
        <f t="shared" ref="N50:N51" si="21">L50*M50</f>
        <v>1347375000</v>
      </c>
      <c r="O50" s="29">
        <f t="shared" si="19"/>
        <v>4.3270736152481275E-2</v>
      </c>
    </row>
    <row r="51" spans="2:15" ht="15.75">
      <c r="B51" s="22"/>
      <c r="C51" s="23"/>
      <c r="D51" s="24" t="s">
        <v>12</v>
      </c>
      <c r="E51" s="25" t="s">
        <v>40</v>
      </c>
      <c r="F51" s="24"/>
      <c r="G51" s="24"/>
      <c r="H51" s="26"/>
      <c r="I51" s="27">
        <v>254470</v>
      </c>
      <c r="J51" s="28">
        <v>50000</v>
      </c>
      <c r="K51" s="28">
        <f t="shared" si="20"/>
        <v>12723500000</v>
      </c>
      <c r="L51" s="27">
        <v>7007</v>
      </c>
      <c r="M51" s="28">
        <v>50000</v>
      </c>
      <c r="N51" s="28">
        <f t="shared" si="21"/>
        <v>350350000</v>
      </c>
      <c r="O51" s="29">
        <f t="shared" si="19"/>
        <v>2.7535662357055842E-2</v>
      </c>
    </row>
    <row r="52" spans="2:15" ht="15.75">
      <c r="B52" s="22"/>
      <c r="C52" s="23"/>
      <c r="D52" s="24"/>
      <c r="E52" s="25"/>
      <c r="F52" s="24"/>
      <c r="G52" s="24"/>
      <c r="H52" s="26"/>
      <c r="I52" s="27"/>
      <c r="J52" s="49"/>
      <c r="K52" s="41"/>
      <c r="L52" s="27"/>
      <c r="M52" s="49"/>
      <c r="N52" s="41"/>
      <c r="O52" s="29"/>
    </row>
    <row r="53" spans="2:15" ht="15.75">
      <c r="B53" s="31"/>
      <c r="C53" s="32">
        <v>7</v>
      </c>
      <c r="D53" s="33" t="s">
        <v>42</v>
      </c>
      <c r="E53" s="34"/>
      <c r="F53" s="34"/>
      <c r="G53" s="34"/>
      <c r="H53" s="35"/>
      <c r="I53" s="36">
        <v>75000</v>
      </c>
      <c r="J53" s="37"/>
      <c r="K53" s="38">
        <f t="shared" ref="K53:L53" si="22">SUM(K54:K55)</f>
        <v>5024800000</v>
      </c>
      <c r="L53" s="36">
        <f t="shared" si="22"/>
        <v>4904</v>
      </c>
      <c r="M53" s="37"/>
      <c r="N53" s="38">
        <f>SUM(N54:N55)</f>
        <v>344080000</v>
      </c>
      <c r="O53" s="39">
        <f t="shared" ref="O53:O55" si="23">N53/K53</f>
        <v>6.8476357267950969E-2</v>
      </c>
    </row>
    <row r="54" spans="2:15" ht="15.75">
      <c r="B54" s="22"/>
      <c r="C54" s="23"/>
      <c r="D54" s="24" t="s">
        <v>10</v>
      </c>
      <c r="E54" s="25" t="s">
        <v>39</v>
      </c>
      <c r="F54" s="24"/>
      <c r="G54" s="24"/>
      <c r="H54" s="26"/>
      <c r="I54" s="27">
        <v>61880</v>
      </c>
      <c r="J54" s="28">
        <v>60000</v>
      </c>
      <c r="K54" s="28">
        <f t="shared" ref="K54:K55" si="24">I54*J54</f>
        <v>3712800000</v>
      </c>
      <c r="L54" s="27">
        <v>3658</v>
      </c>
      <c r="M54" s="28">
        <v>60000</v>
      </c>
      <c r="N54" s="28">
        <f t="shared" ref="N54:N55" si="25">L54*M54</f>
        <v>219480000</v>
      </c>
      <c r="O54" s="29">
        <f t="shared" si="23"/>
        <v>5.9114414996767936E-2</v>
      </c>
    </row>
    <row r="55" spans="2:15" ht="15.75">
      <c r="B55" s="22"/>
      <c r="C55" s="23"/>
      <c r="D55" s="24" t="s">
        <v>12</v>
      </c>
      <c r="E55" s="25" t="s">
        <v>40</v>
      </c>
      <c r="F55" s="24"/>
      <c r="G55" s="24"/>
      <c r="H55" s="26"/>
      <c r="I55" s="27">
        <v>13120</v>
      </c>
      <c r="J55" s="28">
        <v>100000</v>
      </c>
      <c r="K55" s="28">
        <f t="shared" si="24"/>
        <v>1312000000</v>
      </c>
      <c r="L55" s="27">
        <v>1246</v>
      </c>
      <c r="M55" s="28">
        <v>100000</v>
      </c>
      <c r="N55" s="28">
        <f t="shared" si="25"/>
        <v>124600000</v>
      </c>
      <c r="O55" s="29">
        <f t="shared" si="23"/>
        <v>9.4969512195121952E-2</v>
      </c>
    </row>
    <row r="56" spans="2:15" ht="15.75">
      <c r="B56" s="22"/>
      <c r="C56" s="23"/>
      <c r="D56" s="24"/>
      <c r="E56" s="25"/>
      <c r="F56" s="24"/>
      <c r="G56" s="24"/>
      <c r="H56" s="26"/>
      <c r="I56" s="27"/>
      <c r="J56" s="49"/>
      <c r="K56" s="41"/>
      <c r="L56" s="27"/>
      <c r="M56" s="49"/>
      <c r="N56" s="41"/>
      <c r="O56" s="29"/>
    </row>
    <row r="57" spans="2:15" ht="15.75">
      <c r="B57" s="31"/>
      <c r="C57" s="32">
        <v>8</v>
      </c>
      <c r="D57" s="33" t="s">
        <v>43</v>
      </c>
      <c r="E57" s="34"/>
      <c r="F57" s="34"/>
      <c r="G57" s="34"/>
      <c r="H57" s="35"/>
      <c r="I57" s="36">
        <v>2400000</v>
      </c>
      <c r="J57" s="37"/>
      <c r="K57" s="38">
        <f t="shared" ref="K57:L57" si="26">+K58+K61</f>
        <v>607771500000</v>
      </c>
      <c r="L57" s="36">
        <f t="shared" si="26"/>
        <v>99876</v>
      </c>
      <c r="M57" s="37"/>
      <c r="N57" s="38">
        <f>+N58+N61</f>
        <v>25302150000</v>
      </c>
      <c r="O57" s="39">
        <f t="shared" ref="O57:O63" si="27">N57/K57</f>
        <v>4.1631024159573128E-2</v>
      </c>
    </row>
    <row r="58" spans="2:15" ht="15.75">
      <c r="B58" s="22"/>
      <c r="C58" s="23"/>
      <c r="D58" s="47" t="s">
        <v>10</v>
      </c>
      <c r="E58" s="45" t="s">
        <v>32</v>
      </c>
      <c r="F58" s="24"/>
      <c r="G58" s="24"/>
      <c r="H58" s="26"/>
      <c r="I58" s="48">
        <v>1948190</v>
      </c>
      <c r="J58" s="49"/>
      <c r="K58" s="50">
        <f t="shared" ref="K58:L58" si="28">K59+K60</f>
        <v>438342750000</v>
      </c>
      <c r="L58" s="48">
        <f t="shared" si="28"/>
        <v>81009</v>
      </c>
      <c r="M58" s="49"/>
      <c r="N58" s="50">
        <f>N59+N60</f>
        <v>18227025000</v>
      </c>
      <c r="O58" s="29">
        <f t="shared" si="27"/>
        <v>4.1581673245422675E-2</v>
      </c>
    </row>
    <row r="59" spans="2:15" ht="15.75">
      <c r="B59" s="22"/>
      <c r="C59" s="23"/>
      <c r="D59" s="24"/>
      <c r="E59" s="24" t="s">
        <v>33</v>
      </c>
      <c r="F59" s="25" t="s">
        <v>34</v>
      </c>
      <c r="G59" s="24"/>
      <c r="H59" s="26"/>
      <c r="I59" s="27">
        <v>1619192</v>
      </c>
      <c r="J59" s="28">
        <v>225000</v>
      </c>
      <c r="K59" s="28">
        <f t="shared" ref="K59:K60" si="29">I59*J59</f>
        <v>364318200000</v>
      </c>
      <c r="L59" s="27">
        <v>53943</v>
      </c>
      <c r="M59" s="28">
        <v>225000</v>
      </c>
      <c r="N59" s="28">
        <f t="shared" ref="N59:N60" si="30">L59*M59</f>
        <v>12137175000</v>
      </c>
      <c r="O59" s="29">
        <f t="shared" si="27"/>
        <v>3.3314764401009889E-2</v>
      </c>
    </row>
    <row r="60" spans="2:15" ht="15.75">
      <c r="B60" s="22"/>
      <c r="C60" s="23"/>
      <c r="D60" s="24"/>
      <c r="E60" s="24" t="s">
        <v>35</v>
      </c>
      <c r="F60" s="25" t="s">
        <v>44</v>
      </c>
      <c r="G60" s="24"/>
      <c r="H60" s="26"/>
      <c r="I60" s="27">
        <v>328998</v>
      </c>
      <c r="J60" s="28">
        <v>225000</v>
      </c>
      <c r="K60" s="28">
        <f t="shared" si="29"/>
        <v>74024550000</v>
      </c>
      <c r="L60" s="27">
        <v>27066</v>
      </c>
      <c r="M60" s="28">
        <v>225000</v>
      </c>
      <c r="N60" s="28">
        <f t="shared" si="30"/>
        <v>6089850000</v>
      </c>
      <c r="O60" s="29">
        <f t="shared" si="27"/>
        <v>8.2267977312931992E-2</v>
      </c>
    </row>
    <row r="61" spans="2:15" ht="15.75">
      <c r="B61" s="22"/>
      <c r="C61" s="23"/>
      <c r="D61" s="47" t="s">
        <v>12</v>
      </c>
      <c r="E61" s="45" t="s">
        <v>40</v>
      </c>
      <c r="F61" s="24"/>
      <c r="G61" s="24"/>
      <c r="H61" s="26"/>
      <c r="I61" s="48">
        <v>451810</v>
      </c>
      <c r="J61" s="49"/>
      <c r="K61" s="48">
        <f t="shared" ref="K61:L61" si="31">K62+K63</f>
        <v>169428750000</v>
      </c>
      <c r="L61" s="48">
        <f t="shared" si="31"/>
        <v>18867</v>
      </c>
      <c r="M61" s="49"/>
      <c r="N61" s="48">
        <f>N62+N63</f>
        <v>7075125000</v>
      </c>
      <c r="O61" s="29">
        <f t="shared" si="27"/>
        <v>4.1758703879949538E-2</v>
      </c>
    </row>
    <row r="62" spans="2:15" ht="15.75">
      <c r="B62" s="22"/>
      <c r="C62" s="23"/>
      <c r="D62" s="24"/>
      <c r="E62" s="24" t="s">
        <v>33</v>
      </c>
      <c r="F62" s="25" t="s">
        <v>34</v>
      </c>
      <c r="G62" s="24"/>
      <c r="H62" s="26"/>
      <c r="I62" s="27">
        <v>319858</v>
      </c>
      <c r="J62" s="28">
        <v>375000</v>
      </c>
      <c r="K62" s="28">
        <f t="shared" ref="K62:K63" si="32">I62*J62</f>
        <v>119946750000</v>
      </c>
      <c r="L62" s="27">
        <v>6433</v>
      </c>
      <c r="M62" s="28">
        <v>375000</v>
      </c>
      <c r="N62" s="28">
        <f t="shared" ref="N62:N63" si="33">L62*M62</f>
        <v>2412375000</v>
      </c>
      <c r="O62" s="29">
        <f t="shared" si="27"/>
        <v>2.0112049722064165E-2</v>
      </c>
    </row>
    <row r="63" spans="2:15" ht="15.75">
      <c r="B63" s="22"/>
      <c r="C63" s="23"/>
      <c r="D63" s="24"/>
      <c r="E63" s="24" t="s">
        <v>35</v>
      </c>
      <c r="F63" s="25" t="s">
        <v>44</v>
      </c>
      <c r="G63" s="24"/>
      <c r="H63" s="26"/>
      <c r="I63" s="27">
        <v>131952</v>
      </c>
      <c r="J63" s="28">
        <v>375000</v>
      </c>
      <c r="K63" s="28">
        <f t="shared" si="32"/>
        <v>49482000000</v>
      </c>
      <c r="L63" s="27">
        <v>12434</v>
      </c>
      <c r="M63" s="28">
        <v>375000</v>
      </c>
      <c r="N63" s="28">
        <f t="shared" si="33"/>
        <v>4662750000</v>
      </c>
      <c r="O63" s="29">
        <f t="shared" si="27"/>
        <v>9.4231235600824539E-2</v>
      </c>
    </row>
    <row r="64" spans="2:15" ht="15.75">
      <c r="B64" s="22"/>
      <c r="C64" s="23"/>
      <c r="D64" s="24"/>
      <c r="E64" s="24"/>
      <c r="F64" s="25"/>
      <c r="G64" s="24"/>
      <c r="H64" s="26"/>
      <c r="I64" s="27"/>
      <c r="J64" s="49"/>
      <c r="K64" s="41"/>
      <c r="L64" s="27"/>
      <c r="M64" s="49"/>
      <c r="N64" s="41"/>
      <c r="O64" s="29"/>
    </row>
    <row r="65" spans="2:15" ht="15.75">
      <c r="B65" s="31"/>
      <c r="C65" s="32">
        <v>9</v>
      </c>
      <c r="D65" s="33" t="s">
        <v>45</v>
      </c>
      <c r="E65" s="34"/>
      <c r="F65" s="34"/>
      <c r="G65" s="34"/>
      <c r="H65" s="35"/>
      <c r="I65" s="36">
        <v>250000</v>
      </c>
      <c r="J65" s="37"/>
      <c r="K65" s="38">
        <f t="shared" ref="K65:L65" si="34">SUM(K66:K67)</f>
        <v>50337200000</v>
      </c>
      <c r="L65" s="36">
        <f t="shared" si="34"/>
        <v>13714</v>
      </c>
      <c r="M65" s="37"/>
      <c r="N65" s="38">
        <f>SUM(N66:N67)</f>
        <v>2735300000</v>
      </c>
      <c r="O65" s="39">
        <f t="shared" ref="O65:O67" si="35">N65/K65</f>
        <v>5.4339534181480097E-2</v>
      </c>
    </row>
    <row r="66" spans="2:15" ht="15.75">
      <c r="B66" s="22"/>
      <c r="C66" s="23"/>
      <c r="D66" s="24" t="s">
        <v>10</v>
      </c>
      <c r="E66" s="25" t="s">
        <v>46</v>
      </c>
      <c r="F66" s="24"/>
      <c r="G66" s="24"/>
      <c r="H66" s="26"/>
      <c r="I66" s="27">
        <v>121628</v>
      </c>
      <c r="J66" s="28">
        <v>150000</v>
      </c>
      <c r="K66" s="28">
        <f t="shared" ref="K66:K67" si="36">I66*J66</f>
        <v>18244200000</v>
      </c>
      <c r="L66" s="27">
        <v>6932</v>
      </c>
      <c r="M66" s="28">
        <v>150000</v>
      </c>
      <c r="N66" s="28">
        <f t="shared" ref="N66:N67" si="37">L66*M66</f>
        <v>1039800000</v>
      </c>
      <c r="O66" s="29">
        <f t="shared" si="35"/>
        <v>5.6993455454336171E-2</v>
      </c>
    </row>
    <row r="67" spans="2:15" ht="15.75">
      <c r="B67" s="22"/>
      <c r="C67" s="23"/>
      <c r="D67" s="24" t="s">
        <v>12</v>
      </c>
      <c r="E67" s="25" t="s">
        <v>40</v>
      </c>
      <c r="F67" s="24"/>
      <c r="G67" s="24"/>
      <c r="H67" s="26"/>
      <c r="I67" s="27">
        <v>128372</v>
      </c>
      <c r="J67" s="28">
        <v>250000</v>
      </c>
      <c r="K67" s="28">
        <f t="shared" si="36"/>
        <v>32093000000</v>
      </c>
      <c r="L67" s="27">
        <v>6782</v>
      </c>
      <c r="M67" s="28">
        <v>250000</v>
      </c>
      <c r="N67" s="28">
        <f t="shared" si="37"/>
        <v>1695500000</v>
      </c>
      <c r="O67" s="29">
        <f t="shared" si="35"/>
        <v>5.2830835384663322E-2</v>
      </c>
    </row>
    <row r="68" spans="2:15" ht="15.75">
      <c r="B68" s="22"/>
      <c r="C68" s="23"/>
      <c r="D68" s="24"/>
      <c r="E68" s="25"/>
      <c r="F68" s="24"/>
      <c r="G68" s="24"/>
      <c r="H68" s="26"/>
      <c r="I68" s="46"/>
      <c r="J68" s="49"/>
      <c r="K68" s="41"/>
      <c r="L68" s="46"/>
      <c r="M68" s="49"/>
      <c r="N68" s="41"/>
      <c r="O68" s="29"/>
    </row>
    <row r="69" spans="2:15" ht="15.75">
      <c r="B69" s="31"/>
      <c r="C69" s="32">
        <v>10</v>
      </c>
      <c r="D69" s="33" t="s">
        <v>47</v>
      </c>
      <c r="E69" s="34"/>
      <c r="F69" s="34"/>
      <c r="G69" s="34"/>
      <c r="H69" s="35"/>
      <c r="I69" s="36">
        <v>0</v>
      </c>
      <c r="J69" s="37"/>
      <c r="K69" s="38">
        <f t="shared" ref="K69:L69" si="38">+K70+K73</f>
        <v>0</v>
      </c>
      <c r="L69" s="36">
        <f t="shared" si="38"/>
        <v>0</v>
      </c>
      <c r="M69" s="37"/>
      <c r="N69" s="38">
        <f>+N70+N73</f>
        <v>0</v>
      </c>
      <c r="O69" s="39" t="e">
        <f t="shared" ref="O69:O75" si="39">N69/K69</f>
        <v>#DIV/0!</v>
      </c>
    </row>
    <row r="70" spans="2:15" ht="15.75">
      <c r="B70" s="22"/>
      <c r="C70" s="23"/>
      <c r="D70" s="47" t="s">
        <v>10</v>
      </c>
      <c r="E70" s="45" t="s">
        <v>46</v>
      </c>
      <c r="F70" s="24"/>
      <c r="G70" s="24"/>
      <c r="H70" s="26"/>
      <c r="I70" s="48">
        <v>0</v>
      </c>
      <c r="J70" s="49"/>
      <c r="K70" s="50">
        <f t="shared" ref="K70:L70" si="40">SUM(K71:K72)</f>
        <v>0</v>
      </c>
      <c r="L70" s="48">
        <f t="shared" si="40"/>
        <v>0</v>
      </c>
      <c r="M70" s="49"/>
      <c r="N70" s="50">
        <f>SUM(N71:N72)</f>
        <v>0</v>
      </c>
      <c r="O70" s="29" t="e">
        <f t="shared" si="39"/>
        <v>#DIV/0!</v>
      </c>
    </row>
    <row r="71" spans="2:15" ht="15.75">
      <c r="B71" s="22"/>
      <c r="C71" s="23"/>
      <c r="D71" s="24"/>
      <c r="E71" s="24" t="s">
        <v>33</v>
      </c>
      <c r="F71" s="25" t="s">
        <v>34</v>
      </c>
      <c r="G71" s="24"/>
      <c r="H71" s="26"/>
      <c r="I71" s="27">
        <v>0</v>
      </c>
      <c r="J71" s="28">
        <v>100000</v>
      </c>
      <c r="K71" s="28">
        <f t="shared" ref="K71:K72" si="41">I71*J71</f>
        <v>0</v>
      </c>
      <c r="L71" s="27">
        <f>'[1]L. MAT 09 STNKLBN'!G16</f>
        <v>0</v>
      </c>
      <c r="M71" s="28">
        <v>100000</v>
      </c>
      <c r="N71" s="28">
        <f t="shared" ref="N71:N72" si="42">L71*M71</f>
        <v>0</v>
      </c>
      <c r="O71" s="29" t="e">
        <f t="shared" si="39"/>
        <v>#DIV/0!</v>
      </c>
    </row>
    <row r="72" spans="2:15" ht="15.75">
      <c r="B72" s="22"/>
      <c r="C72" s="23"/>
      <c r="D72" s="24"/>
      <c r="E72" s="24" t="s">
        <v>35</v>
      </c>
      <c r="F72" s="25" t="s">
        <v>36</v>
      </c>
      <c r="G72" s="24"/>
      <c r="H72" s="26"/>
      <c r="I72" s="27">
        <v>0</v>
      </c>
      <c r="J72" s="28">
        <v>100000</v>
      </c>
      <c r="K72" s="28">
        <f t="shared" si="41"/>
        <v>0</v>
      </c>
      <c r="L72" s="27">
        <f>'[1]L. MAT 09 STNKLBN'!I16</f>
        <v>0</v>
      </c>
      <c r="M72" s="28">
        <v>100000</v>
      </c>
      <c r="N72" s="28">
        <f t="shared" si="42"/>
        <v>0</v>
      </c>
      <c r="O72" s="29" t="e">
        <f t="shared" si="39"/>
        <v>#DIV/0!</v>
      </c>
    </row>
    <row r="73" spans="2:15" ht="15.75">
      <c r="B73" s="22"/>
      <c r="C73" s="23"/>
      <c r="D73" s="47" t="s">
        <v>12</v>
      </c>
      <c r="E73" s="45" t="s">
        <v>40</v>
      </c>
      <c r="F73" s="24"/>
      <c r="G73" s="24"/>
      <c r="H73" s="26"/>
      <c r="I73" s="48">
        <v>0</v>
      </c>
      <c r="J73" s="49"/>
      <c r="K73" s="50">
        <f t="shared" ref="K73:L73" si="43">SUM(K74:K75)</f>
        <v>0</v>
      </c>
      <c r="L73" s="48">
        <f t="shared" si="43"/>
        <v>0</v>
      </c>
      <c r="M73" s="49"/>
      <c r="N73" s="50">
        <f>SUM(N74:N75)</f>
        <v>0</v>
      </c>
      <c r="O73" s="29" t="e">
        <f t="shared" si="39"/>
        <v>#DIV/0!</v>
      </c>
    </row>
    <row r="74" spans="2:15" ht="15.75">
      <c r="B74" s="22"/>
      <c r="C74" s="23"/>
      <c r="D74" s="24"/>
      <c r="E74" s="24" t="s">
        <v>33</v>
      </c>
      <c r="F74" s="25" t="s">
        <v>34</v>
      </c>
      <c r="G74" s="24"/>
      <c r="H74" s="26"/>
      <c r="I74" s="27">
        <v>0</v>
      </c>
      <c r="J74" s="28">
        <v>200000</v>
      </c>
      <c r="K74" s="28">
        <f t="shared" ref="K74:K75" si="44">I74*J74</f>
        <v>0</v>
      </c>
      <c r="L74" s="27">
        <f>'[1]L. MAT 09 STNKLBN'!H16</f>
        <v>0</v>
      </c>
      <c r="M74" s="28">
        <v>200000</v>
      </c>
      <c r="N74" s="28">
        <f t="shared" ref="N74:N75" si="45">L74*M74</f>
        <v>0</v>
      </c>
      <c r="O74" s="29" t="e">
        <f t="shared" si="39"/>
        <v>#DIV/0!</v>
      </c>
    </row>
    <row r="75" spans="2:15" ht="15.75">
      <c r="B75" s="22"/>
      <c r="C75" s="23"/>
      <c r="D75" s="24"/>
      <c r="E75" s="24" t="s">
        <v>35</v>
      </c>
      <c r="F75" s="25" t="s">
        <v>36</v>
      </c>
      <c r="G75" s="24"/>
      <c r="H75" s="26"/>
      <c r="I75" s="27">
        <v>0</v>
      </c>
      <c r="J75" s="28">
        <v>200000</v>
      </c>
      <c r="K75" s="28">
        <f t="shared" si="44"/>
        <v>0</v>
      </c>
      <c r="L75" s="27">
        <f>'[1]L. MAT 09 STNKLBN'!J16</f>
        <v>0</v>
      </c>
      <c r="M75" s="28">
        <v>200000</v>
      </c>
      <c r="N75" s="28">
        <f t="shared" si="45"/>
        <v>0</v>
      </c>
      <c r="O75" s="29" t="e">
        <f t="shared" si="39"/>
        <v>#DIV/0!</v>
      </c>
    </row>
    <row r="76" spans="2:15" ht="15.75">
      <c r="B76" s="51"/>
      <c r="C76" s="52"/>
      <c r="D76" s="53"/>
      <c r="E76" s="53"/>
      <c r="F76" s="54"/>
      <c r="G76" s="53"/>
      <c r="H76" s="55"/>
      <c r="I76" s="56"/>
      <c r="J76" s="68"/>
      <c r="K76" s="68"/>
      <c r="L76" s="56"/>
      <c r="M76" s="68"/>
      <c r="N76" s="68"/>
      <c r="O76" s="59"/>
    </row>
    <row r="77" spans="2:15" ht="15.75">
      <c r="B77" s="31"/>
      <c r="C77" s="32">
        <v>11</v>
      </c>
      <c r="D77" s="33" t="s">
        <v>48</v>
      </c>
      <c r="E77" s="42"/>
      <c r="F77" s="34"/>
      <c r="G77" s="34"/>
      <c r="H77" s="35"/>
      <c r="I77" s="36">
        <v>0</v>
      </c>
      <c r="J77" s="37"/>
      <c r="K77" s="38">
        <f t="shared" ref="K77:L77" si="46">K78+K81</f>
        <v>0</v>
      </c>
      <c r="L77" s="36">
        <f t="shared" si="46"/>
        <v>0</v>
      </c>
      <c r="M77" s="37"/>
      <c r="N77" s="38">
        <f>N78+N81</f>
        <v>0</v>
      </c>
      <c r="O77" s="39" t="e">
        <f t="shared" ref="O77:O83" si="47">N77/K77</f>
        <v>#DIV/0!</v>
      </c>
    </row>
    <row r="78" spans="2:15" ht="15.75">
      <c r="B78" s="22"/>
      <c r="C78" s="23"/>
      <c r="D78" s="47" t="s">
        <v>10</v>
      </c>
      <c r="E78" s="45" t="s">
        <v>46</v>
      </c>
      <c r="F78" s="24"/>
      <c r="G78" s="24"/>
      <c r="H78" s="26"/>
      <c r="I78" s="48">
        <v>0</v>
      </c>
      <c r="J78" s="49"/>
      <c r="K78" s="50">
        <f t="shared" ref="K78:L78" si="48">SUM(K79:K80)</f>
        <v>0</v>
      </c>
      <c r="L78" s="48">
        <f t="shared" si="48"/>
        <v>0</v>
      </c>
      <c r="M78" s="49"/>
      <c r="N78" s="50">
        <f>SUM(N79:N80)</f>
        <v>0</v>
      </c>
      <c r="O78" s="29" t="e">
        <f t="shared" si="47"/>
        <v>#DIV/0!</v>
      </c>
    </row>
    <row r="79" spans="2:15" ht="15.75">
      <c r="B79" s="22"/>
      <c r="C79" s="23"/>
      <c r="D79" s="24"/>
      <c r="E79" s="24" t="s">
        <v>33</v>
      </c>
      <c r="F79" s="25" t="s">
        <v>34</v>
      </c>
      <c r="G79" s="24"/>
      <c r="H79" s="26"/>
      <c r="I79" s="27">
        <v>0</v>
      </c>
      <c r="J79" s="28">
        <v>100000</v>
      </c>
      <c r="K79" s="28">
        <f t="shared" ref="K79:K80" si="49">I79*J79</f>
        <v>0</v>
      </c>
      <c r="L79" s="27">
        <f>'[1]L. MAT 10 TNKB LBN'!G16</f>
        <v>0</v>
      </c>
      <c r="M79" s="28">
        <v>100000</v>
      </c>
      <c r="N79" s="28">
        <f t="shared" ref="N79:N80" si="50">L79*M79</f>
        <v>0</v>
      </c>
      <c r="O79" s="29" t="e">
        <f t="shared" si="47"/>
        <v>#DIV/0!</v>
      </c>
    </row>
    <row r="80" spans="2:15" ht="15.75">
      <c r="B80" s="22"/>
      <c r="C80" s="23"/>
      <c r="D80" s="24"/>
      <c r="E80" s="24" t="s">
        <v>35</v>
      </c>
      <c r="F80" s="25" t="s">
        <v>36</v>
      </c>
      <c r="G80" s="24"/>
      <c r="H80" s="26"/>
      <c r="I80" s="27"/>
      <c r="J80" s="28">
        <v>100000</v>
      </c>
      <c r="K80" s="28">
        <f t="shared" si="49"/>
        <v>0</v>
      </c>
      <c r="L80" s="27">
        <f>'[1]L. MAT 10 TNKB LBN'!I16</f>
        <v>0</v>
      </c>
      <c r="M80" s="28">
        <v>100000</v>
      </c>
      <c r="N80" s="28">
        <f t="shared" si="50"/>
        <v>0</v>
      </c>
      <c r="O80" s="29" t="e">
        <f t="shared" si="47"/>
        <v>#DIV/0!</v>
      </c>
    </row>
    <row r="81" spans="2:15" ht="15.75">
      <c r="B81" s="22"/>
      <c r="C81" s="23"/>
      <c r="D81" s="47" t="s">
        <v>12</v>
      </c>
      <c r="E81" s="45" t="s">
        <v>40</v>
      </c>
      <c r="F81" s="24"/>
      <c r="G81" s="24"/>
      <c r="H81" s="26"/>
      <c r="I81" s="48">
        <v>0</v>
      </c>
      <c r="J81" s="49"/>
      <c r="K81" s="50">
        <f t="shared" ref="K81:L81" si="51">SUM(K82:K83)</f>
        <v>0</v>
      </c>
      <c r="L81" s="48">
        <f t="shared" si="51"/>
        <v>0</v>
      </c>
      <c r="M81" s="49"/>
      <c r="N81" s="50">
        <f>SUM(N82:N83)</f>
        <v>0</v>
      </c>
      <c r="O81" s="29" t="e">
        <f t="shared" si="47"/>
        <v>#DIV/0!</v>
      </c>
    </row>
    <row r="82" spans="2:15" ht="15.75">
      <c r="B82" s="22"/>
      <c r="C82" s="23"/>
      <c r="D82" s="24"/>
      <c r="E82" s="24" t="s">
        <v>33</v>
      </c>
      <c r="F82" s="25" t="s">
        <v>34</v>
      </c>
      <c r="G82" s="24"/>
      <c r="H82" s="26"/>
      <c r="I82" s="27">
        <v>0</v>
      </c>
      <c r="J82" s="28">
        <v>200000</v>
      </c>
      <c r="K82" s="28">
        <f t="shared" ref="K82:K83" si="52">I82*J82</f>
        <v>0</v>
      </c>
      <c r="L82" s="27">
        <f>'[1]L. MAT 10 TNKB LBN'!H16</f>
        <v>0</v>
      </c>
      <c r="M82" s="28">
        <v>200000</v>
      </c>
      <c r="N82" s="28">
        <f t="shared" ref="N82:N83" si="53">L82*M82</f>
        <v>0</v>
      </c>
      <c r="O82" s="29" t="e">
        <f t="shared" si="47"/>
        <v>#DIV/0!</v>
      </c>
    </row>
    <row r="83" spans="2:15" ht="15.75">
      <c r="B83" s="22"/>
      <c r="C83" s="23"/>
      <c r="D83" s="24"/>
      <c r="E83" s="24" t="s">
        <v>35</v>
      </c>
      <c r="F83" s="25" t="s">
        <v>36</v>
      </c>
      <c r="G83" s="24"/>
      <c r="H83" s="26"/>
      <c r="I83" s="27">
        <v>0</v>
      </c>
      <c r="J83" s="28">
        <v>200000</v>
      </c>
      <c r="K83" s="28">
        <f t="shared" si="52"/>
        <v>0</v>
      </c>
      <c r="L83" s="27">
        <f>'[1]L. MAT 10 TNKB LBN'!J16</f>
        <v>0</v>
      </c>
      <c r="M83" s="28">
        <v>200000</v>
      </c>
      <c r="N83" s="28">
        <f t="shared" si="53"/>
        <v>0</v>
      </c>
      <c r="O83" s="29" t="e">
        <f t="shared" si="47"/>
        <v>#DIV/0!</v>
      </c>
    </row>
    <row r="84" spans="2:15" ht="15.75">
      <c r="B84" s="22"/>
      <c r="C84" s="23"/>
      <c r="D84" s="24"/>
      <c r="E84" s="25"/>
      <c r="F84" s="24"/>
      <c r="G84" s="24"/>
      <c r="H84" s="26"/>
      <c r="I84" s="27"/>
      <c r="J84" s="49"/>
      <c r="K84" s="41"/>
      <c r="L84" s="27"/>
      <c r="M84" s="49"/>
      <c r="N84" s="41"/>
      <c r="O84" s="29"/>
    </row>
    <row r="85" spans="2:15" ht="15.75">
      <c r="B85" s="31"/>
      <c r="C85" s="32">
        <v>12</v>
      </c>
      <c r="D85" s="33" t="s">
        <v>49</v>
      </c>
      <c r="E85" s="42"/>
      <c r="F85" s="42"/>
      <c r="G85" s="42"/>
      <c r="H85" s="35"/>
      <c r="I85" s="36">
        <v>12000</v>
      </c>
      <c r="J85" s="37"/>
      <c r="K85" s="38">
        <f t="shared" ref="K85:L85" si="54">+K86+K89+K92+K95</f>
        <v>99500000000</v>
      </c>
      <c r="L85" s="36">
        <f t="shared" si="54"/>
        <v>593</v>
      </c>
      <c r="M85" s="37"/>
      <c r="N85" s="38">
        <f>+N86+N89+N92+N95</f>
        <v>5320000000</v>
      </c>
      <c r="O85" s="39">
        <f t="shared" ref="O85:O97" si="55">N85/K85</f>
        <v>5.3467336683417084E-2</v>
      </c>
    </row>
    <row r="86" spans="2:15" ht="15.75">
      <c r="B86" s="22"/>
      <c r="C86" s="23"/>
      <c r="D86" s="47" t="s">
        <v>10</v>
      </c>
      <c r="E86" s="45" t="s">
        <v>50</v>
      </c>
      <c r="F86" s="24"/>
      <c r="G86" s="24"/>
      <c r="H86" s="26"/>
      <c r="I86" s="48">
        <v>1053</v>
      </c>
      <c r="J86" s="49"/>
      <c r="K86" s="50">
        <f t="shared" ref="K86:L86" si="56">SUM(K87:K88)</f>
        <v>16585000000</v>
      </c>
      <c r="L86" s="48">
        <f t="shared" si="56"/>
        <v>81</v>
      </c>
      <c r="M86" s="49"/>
      <c r="N86" s="50">
        <f>SUM(N87:N88)</f>
        <v>1220000000</v>
      </c>
      <c r="O86" s="29">
        <f t="shared" si="55"/>
        <v>7.3560446186312939E-2</v>
      </c>
    </row>
    <row r="87" spans="2:15" ht="15.75">
      <c r="B87" s="22"/>
      <c r="C87" s="23"/>
      <c r="D87" s="24"/>
      <c r="E87" s="24" t="s">
        <v>33</v>
      </c>
      <c r="F87" s="25" t="s">
        <v>51</v>
      </c>
      <c r="G87" s="24"/>
      <c r="H87" s="26"/>
      <c r="I87" s="27">
        <v>158</v>
      </c>
      <c r="J87" s="28">
        <v>20000000</v>
      </c>
      <c r="K87" s="28">
        <f t="shared" ref="K87:K88" si="57">I87*J87</f>
        <v>3160000000</v>
      </c>
      <c r="L87" s="27">
        <v>1</v>
      </c>
      <c r="M87" s="28">
        <v>20000000</v>
      </c>
      <c r="N87" s="28">
        <f t="shared" ref="N87:N88" si="58">L87*M87</f>
        <v>20000000</v>
      </c>
      <c r="O87" s="29">
        <f t="shared" si="55"/>
        <v>6.3291139240506328E-3</v>
      </c>
    </row>
    <row r="88" spans="2:15" ht="15.75">
      <c r="B88" s="22"/>
      <c r="C88" s="23"/>
      <c r="D88" s="24"/>
      <c r="E88" s="24" t="s">
        <v>35</v>
      </c>
      <c r="F88" s="25" t="s">
        <v>52</v>
      </c>
      <c r="G88" s="24"/>
      <c r="H88" s="26"/>
      <c r="I88" s="27">
        <v>895</v>
      </c>
      <c r="J88" s="28">
        <v>15000000</v>
      </c>
      <c r="K88" s="28">
        <f t="shared" si="57"/>
        <v>13425000000</v>
      </c>
      <c r="L88" s="27">
        <v>80</v>
      </c>
      <c r="M88" s="28">
        <v>15000000</v>
      </c>
      <c r="N88" s="28">
        <f t="shared" si="58"/>
        <v>1200000000</v>
      </c>
      <c r="O88" s="29">
        <f t="shared" si="55"/>
        <v>8.9385474860335198E-2</v>
      </c>
    </row>
    <row r="89" spans="2:15" ht="15.75">
      <c r="B89" s="22"/>
      <c r="C89" s="23"/>
      <c r="D89" s="47" t="s">
        <v>12</v>
      </c>
      <c r="E89" s="45" t="s">
        <v>53</v>
      </c>
      <c r="F89" s="24"/>
      <c r="G89" s="24"/>
      <c r="H89" s="26"/>
      <c r="I89" s="48">
        <v>2383</v>
      </c>
      <c r="J89" s="49"/>
      <c r="K89" s="50">
        <f t="shared" ref="K89:L89" si="59">SUM(K90:K91)</f>
        <v>25435000000</v>
      </c>
      <c r="L89" s="48">
        <f t="shared" si="59"/>
        <v>147</v>
      </c>
      <c r="M89" s="49"/>
      <c r="N89" s="50">
        <f>SUM(N90:N91)</f>
        <v>1475000000</v>
      </c>
      <c r="O89" s="29">
        <f t="shared" si="55"/>
        <v>5.7990957342244936E-2</v>
      </c>
    </row>
    <row r="90" spans="2:15" ht="15.75">
      <c r="B90" s="22"/>
      <c r="C90" s="23"/>
      <c r="D90" s="24"/>
      <c r="E90" s="24" t="s">
        <v>33</v>
      </c>
      <c r="F90" s="25" t="s">
        <v>51</v>
      </c>
      <c r="G90" s="24"/>
      <c r="H90" s="26"/>
      <c r="I90" s="27">
        <v>321</v>
      </c>
      <c r="J90" s="28">
        <v>15000000</v>
      </c>
      <c r="K90" s="28">
        <f t="shared" ref="K90:K91" si="60">I90*J90</f>
        <v>4815000000</v>
      </c>
      <c r="L90" s="27">
        <v>1</v>
      </c>
      <c r="M90" s="28">
        <v>15000000</v>
      </c>
      <c r="N90" s="28">
        <f t="shared" ref="N90:N91" si="61">L90*M90</f>
        <v>15000000</v>
      </c>
      <c r="O90" s="29">
        <f t="shared" si="55"/>
        <v>3.1152647975077881E-3</v>
      </c>
    </row>
    <row r="91" spans="2:15" ht="15">
      <c r="B91" s="69"/>
      <c r="C91" s="70"/>
      <c r="D91" s="25"/>
      <c r="E91" s="24" t="s">
        <v>35</v>
      </c>
      <c r="F91" s="25" t="s">
        <v>52</v>
      </c>
      <c r="G91" s="25"/>
      <c r="H91" s="71"/>
      <c r="I91" s="27">
        <v>2062</v>
      </c>
      <c r="J91" s="28">
        <v>10000000</v>
      </c>
      <c r="K91" s="28">
        <f t="shared" si="60"/>
        <v>20620000000</v>
      </c>
      <c r="L91" s="27">
        <v>146</v>
      </c>
      <c r="M91" s="28">
        <v>10000000</v>
      </c>
      <c r="N91" s="28">
        <f t="shared" si="61"/>
        <v>1460000000</v>
      </c>
      <c r="O91" s="29">
        <f t="shared" si="55"/>
        <v>7.0805043646944718E-2</v>
      </c>
    </row>
    <row r="92" spans="2:15" ht="15.75">
      <c r="B92" s="69"/>
      <c r="C92" s="70"/>
      <c r="D92" s="47" t="s">
        <v>14</v>
      </c>
      <c r="E92" s="45" t="s">
        <v>54</v>
      </c>
      <c r="F92" s="25"/>
      <c r="G92" s="25"/>
      <c r="H92" s="71"/>
      <c r="I92" s="48">
        <v>4609</v>
      </c>
      <c r="J92" s="28"/>
      <c r="K92" s="50">
        <f t="shared" ref="K92:L92" si="62">SUM(K93:K94)</f>
        <v>35915000000</v>
      </c>
      <c r="L92" s="48">
        <f t="shared" si="62"/>
        <v>273</v>
      </c>
      <c r="M92" s="28"/>
      <c r="N92" s="50">
        <f>SUM(N93:N94)</f>
        <v>2072500000</v>
      </c>
      <c r="O92" s="29">
        <f t="shared" si="55"/>
        <v>5.7705693999721565E-2</v>
      </c>
    </row>
    <row r="93" spans="2:15" ht="15">
      <c r="B93" s="69"/>
      <c r="C93" s="70"/>
      <c r="D93" s="24"/>
      <c r="E93" s="24" t="s">
        <v>33</v>
      </c>
      <c r="F93" s="25" t="s">
        <v>51</v>
      </c>
      <c r="G93" s="25"/>
      <c r="H93" s="71"/>
      <c r="I93" s="27">
        <v>539</v>
      </c>
      <c r="J93" s="28">
        <v>10000000</v>
      </c>
      <c r="K93" s="28">
        <f t="shared" ref="K93:K94" si="63">I93*J93</f>
        <v>5390000000</v>
      </c>
      <c r="L93" s="27">
        <v>10</v>
      </c>
      <c r="M93" s="28">
        <v>10000000</v>
      </c>
      <c r="N93" s="28">
        <f t="shared" ref="N93:N94" si="64">L93*M93</f>
        <v>100000000</v>
      </c>
      <c r="O93" s="29">
        <f t="shared" si="55"/>
        <v>1.8552875695732839E-2</v>
      </c>
    </row>
    <row r="94" spans="2:15" ht="15">
      <c r="B94" s="69"/>
      <c r="C94" s="70"/>
      <c r="D94" s="24"/>
      <c r="E94" s="24" t="s">
        <v>35</v>
      </c>
      <c r="F94" s="25" t="s">
        <v>52</v>
      </c>
      <c r="G94" s="25"/>
      <c r="H94" s="71"/>
      <c r="I94" s="27">
        <v>4070</v>
      </c>
      <c r="J94" s="28">
        <v>7500000</v>
      </c>
      <c r="K94" s="28">
        <f t="shared" si="63"/>
        <v>30525000000</v>
      </c>
      <c r="L94" s="27">
        <v>263</v>
      </c>
      <c r="M94" s="28">
        <v>7500000</v>
      </c>
      <c r="N94" s="28">
        <f t="shared" si="64"/>
        <v>1972500000</v>
      </c>
      <c r="O94" s="29">
        <f t="shared" si="55"/>
        <v>6.4619164619164615E-2</v>
      </c>
    </row>
    <row r="95" spans="2:15" ht="15.75">
      <c r="B95" s="69"/>
      <c r="C95" s="70"/>
      <c r="D95" s="47" t="s">
        <v>16</v>
      </c>
      <c r="E95" s="45" t="s">
        <v>55</v>
      </c>
      <c r="F95" s="25"/>
      <c r="G95" s="25"/>
      <c r="H95" s="71"/>
      <c r="I95" s="48">
        <v>3955</v>
      </c>
      <c r="J95" s="28"/>
      <c r="K95" s="50">
        <f t="shared" ref="K95:L95" si="65">SUM(K96:K97)</f>
        <v>21565000000</v>
      </c>
      <c r="L95" s="48">
        <f t="shared" si="65"/>
        <v>92</v>
      </c>
      <c r="M95" s="28"/>
      <c r="N95" s="50">
        <f>SUM(N96:N97)</f>
        <v>552500000</v>
      </c>
      <c r="O95" s="29">
        <f t="shared" si="55"/>
        <v>2.562021794574542E-2</v>
      </c>
    </row>
    <row r="96" spans="2:15" ht="15">
      <c r="B96" s="69"/>
      <c r="C96" s="70"/>
      <c r="D96" s="25"/>
      <c r="E96" s="24" t="s">
        <v>33</v>
      </c>
      <c r="F96" s="25" t="s">
        <v>51</v>
      </c>
      <c r="G96" s="25"/>
      <c r="H96" s="71"/>
      <c r="I96" s="27">
        <v>716</v>
      </c>
      <c r="J96" s="28">
        <v>7500000</v>
      </c>
      <c r="K96" s="28">
        <f t="shared" ref="K96:K97" si="66">I96*J96</f>
        <v>5370000000</v>
      </c>
      <c r="L96" s="27">
        <v>37</v>
      </c>
      <c r="M96" s="28">
        <v>7500000</v>
      </c>
      <c r="N96" s="28">
        <f t="shared" ref="N96:N97" si="67">L96*M96</f>
        <v>277500000</v>
      </c>
      <c r="O96" s="29">
        <f t="shared" si="55"/>
        <v>5.1675977653631286E-2</v>
      </c>
    </row>
    <row r="97" spans="2:15" ht="15">
      <c r="B97" s="69"/>
      <c r="C97" s="70"/>
      <c r="D97" s="25"/>
      <c r="E97" s="24" t="s">
        <v>35</v>
      </c>
      <c r="F97" s="25" t="s">
        <v>52</v>
      </c>
      <c r="G97" s="25"/>
      <c r="H97" s="71"/>
      <c r="I97" s="27">
        <v>3239</v>
      </c>
      <c r="J97" s="28">
        <v>5000000</v>
      </c>
      <c r="K97" s="28">
        <f t="shared" si="66"/>
        <v>16195000000</v>
      </c>
      <c r="L97" s="27">
        <v>55</v>
      </c>
      <c r="M97" s="28">
        <v>5000000</v>
      </c>
      <c r="N97" s="28">
        <f t="shared" si="67"/>
        <v>275000000</v>
      </c>
      <c r="O97" s="29">
        <f t="shared" si="55"/>
        <v>1.6980549552330967E-2</v>
      </c>
    </row>
    <row r="98" spans="2:15" ht="15">
      <c r="B98" s="72"/>
      <c r="C98" s="73"/>
      <c r="D98" s="74"/>
      <c r="E98" s="74"/>
      <c r="F98" s="74"/>
      <c r="G98" s="74"/>
      <c r="H98" s="75"/>
      <c r="I98" s="76"/>
      <c r="J98" s="77"/>
      <c r="K98" s="78"/>
      <c r="L98" s="76"/>
      <c r="M98" s="77"/>
      <c r="N98" s="78"/>
      <c r="O98" s="79"/>
    </row>
    <row r="99" spans="2:15" ht="15.75">
      <c r="B99" s="80"/>
      <c r="C99" s="105" t="s">
        <v>56</v>
      </c>
      <c r="D99" s="103"/>
      <c r="E99" s="103"/>
      <c r="F99" s="103"/>
      <c r="G99" s="103"/>
      <c r="H99" s="104"/>
      <c r="I99" s="81">
        <f>SUM(I13,I24,I35,I37,I45,I49,I53,I57,I65,I69,I77,I85)</f>
        <v>19337001</v>
      </c>
      <c r="J99" s="81"/>
      <c r="K99" s="81">
        <f>SUM(K13,K24,K35,K37,K45,K49,K53,K57,K65,K69,K77,K85)</f>
        <v>2210588370000</v>
      </c>
      <c r="L99" s="81">
        <f>SUM(L13,L24,L35,L37,L45,L49,L53,L57,L65,L69,L77,L85)</f>
        <v>905335</v>
      </c>
      <c r="M99" s="81"/>
      <c r="N99" s="81">
        <f>SUM(N13,N24,N35,N37,N45,N49,N53,N57,N65,N69,N77,N85)</f>
        <v>100784110000</v>
      </c>
      <c r="O99" s="82">
        <f>N99/K99</f>
        <v>4.5591531814672487E-2</v>
      </c>
    </row>
    <row r="100" spans="2:15" ht="15.75">
      <c r="B100" s="83"/>
      <c r="C100" s="84"/>
      <c r="D100" s="84"/>
      <c r="E100" s="84"/>
      <c r="F100" s="84"/>
      <c r="G100" s="84"/>
      <c r="H100" s="84"/>
      <c r="I100" s="85"/>
      <c r="J100" s="84"/>
      <c r="K100" s="84"/>
      <c r="L100" s="85"/>
      <c r="M100" s="84"/>
      <c r="N100" s="86"/>
      <c r="O100" s="87"/>
    </row>
    <row r="101" spans="2:15" ht="15.75">
      <c r="B101" s="83"/>
      <c r="C101" s="88"/>
      <c r="D101" s="84"/>
      <c r="E101" s="84"/>
      <c r="F101" s="84"/>
      <c r="G101" s="84"/>
      <c r="H101" s="84"/>
      <c r="I101" s="84"/>
      <c r="J101" s="84"/>
      <c r="K101" s="84"/>
      <c r="L101" s="84"/>
      <c r="M101" s="106"/>
      <c r="N101" s="100"/>
      <c r="O101" s="100"/>
    </row>
    <row r="102" spans="2:15" ht="15.75">
      <c r="B102" s="101"/>
      <c r="C102" s="100"/>
      <c r="D102" s="100"/>
      <c r="E102" s="100"/>
      <c r="F102" s="100"/>
      <c r="G102" s="84"/>
      <c r="H102" s="84"/>
      <c r="I102" s="84"/>
      <c r="J102" s="84"/>
      <c r="K102" s="84"/>
      <c r="L102" s="84"/>
      <c r="M102" s="101"/>
      <c r="N102" s="100"/>
      <c r="O102" s="100"/>
    </row>
    <row r="103" spans="2:15" ht="15.75">
      <c r="B103" s="89"/>
      <c r="C103" s="89"/>
      <c r="D103" s="89"/>
      <c r="E103" s="84"/>
      <c r="F103" s="84"/>
      <c r="G103" s="84"/>
      <c r="H103" s="84"/>
      <c r="I103" s="86"/>
      <c r="J103" s="86"/>
      <c r="K103" s="86"/>
      <c r="L103" s="86"/>
      <c r="M103" s="89"/>
      <c r="N103" s="89"/>
      <c r="O103" s="89"/>
    </row>
    <row r="104" spans="2:15" ht="15.75">
      <c r="B104" s="101"/>
      <c r="C104" s="100"/>
      <c r="D104" s="100"/>
      <c r="E104" s="100"/>
      <c r="F104" s="100"/>
      <c r="G104" s="84"/>
      <c r="H104" s="84"/>
      <c r="I104" s="84"/>
      <c r="J104" s="84"/>
      <c r="K104" s="84"/>
      <c r="L104" s="84"/>
      <c r="M104" s="101"/>
      <c r="N104" s="100"/>
      <c r="O104" s="100"/>
    </row>
    <row r="105" spans="2:15" ht="15.75">
      <c r="B105" s="89"/>
      <c r="C105" s="89"/>
      <c r="D105" s="89"/>
      <c r="E105" s="84"/>
      <c r="F105" s="84"/>
      <c r="G105" s="84"/>
      <c r="H105" s="84"/>
      <c r="I105" s="84"/>
      <c r="J105" s="84"/>
      <c r="K105" s="84"/>
      <c r="L105" s="84"/>
      <c r="M105" s="89"/>
      <c r="N105" s="89"/>
      <c r="O105" s="89"/>
    </row>
    <row r="106" spans="2:15" ht="15.75">
      <c r="B106" s="99"/>
      <c r="C106" s="100"/>
      <c r="D106" s="100"/>
      <c r="E106" s="100"/>
      <c r="F106" s="100"/>
      <c r="G106" s="84"/>
      <c r="H106" s="84"/>
      <c r="I106" s="84"/>
      <c r="J106" s="84"/>
      <c r="K106" s="84"/>
      <c r="L106" s="84"/>
      <c r="M106" s="99"/>
      <c r="N106" s="100"/>
      <c r="O106" s="100"/>
    </row>
    <row r="107" spans="2:15" ht="15.75">
      <c r="B107" s="101"/>
      <c r="C107" s="100"/>
      <c r="D107" s="100"/>
      <c r="E107" s="100"/>
      <c r="F107" s="100"/>
      <c r="G107" s="84"/>
      <c r="H107" s="84"/>
      <c r="I107" s="84"/>
      <c r="J107" s="84"/>
      <c r="K107" s="84"/>
      <c r="L107" s="84"/>
      <c r="M107" s="101"/>
      <c r="N107" s="100"/>
      <c r="O107" s="100"/>
    </row>
  </sheetData>
  <mergeCells count="20">
    <mergeCell ref="B2:G5"/>
    <mergeCell ref="B6:O6"/>
    <mergeCell ref="B7:O7"/>
    <mergeCell ref="B9:H9"/>
    <mergeCell ref="B10:B11"/>
    <mergeCell ref="C10:H11"/>
    <mergeCell ref="I10:K10"/>
    <mergeCell ref="L10:N10"/>
    <mergeCell ref="O10:O11"/>
    <mergeCell ref="B106:F106"/>
    <mergeCell ref="M106:O106"/>
    <mergeCell ref="B107:F107"/>
    <mergeCell ref="M107:O107"/>
    <mergeCell ref="C12:H12"/>
    <mergeCell ref="C99:H99"/>
    <mergeCell ref="M101:O101"/>
    <mergeCell ref="B102:F102"/>
    <mergeCell ref="M102:O102"/>
    <mergeCell ref="B104:F104"/>
    <mergeCell ref="M104:O10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7"/>
  <sheetViews>
    <sheetView topLeftCell="H67" workbookViewId="0">
      <selection activeCell="L96" sqref="L96:L97"/>
    </sheetView>
  </sheetViews>
  <sheetFormatPr defaultRowHeight="14.25"/>
  <cols>
    <col min="2" max="2" width="5.875" customWidth="1"/>
    <col min="3" max="10" width="16.125" customWidth="1"/>
    <col min="11" max="11" width="26.25" customWidth="1"/>
    <col min="12" max="13" width="16.125" customWidth="1"/>
    <col min="14" max="14" width="20.75" customWidth="1"/>
    <col min="15" max="15" width="16.125" customWidth="1"/>
  </cols>
  <sheetData>
    <row r="1" spans="2:15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2:15" ht="15">
      <c r="B2" s="107"/>
      <c r="C2" s="108"/>
      <c r="D2" s="108"/>
      <c r="E2" s="108"/>
      <c r="F2" s="108"/>
      <c r="G2" s="108"/>
      <c r="H2" s="3"/>
      <c r="I2" s="3"/>
      <c r="J2" s="3"/>
      <c r="K2" s="3"/>
      <c r="L2" s="3"/>
      <c r="M2" s="3"/>
      <c r="N2" s="3"/>
      <c r="O2" s="4"/>
    </row>
    <row r="3" spans="2:15" ht="15">
      <c r="B3" s="108"/>
      <c r="C3" s="100"/>
      <c r="D3" s="100"/>
      <c r="E3" s="100"/>
      <c r="F3" s="100"/>
      <c r="G3" s="108"/>
      <c r="H3" s="3"/>
      <c r="I3" s="3"/>
      <c r="J3" s="3"/>
      <c r="K3" s="3"/>
      <c r="L3" s="3"/>
      <c r="M3" s="3"/>
      <c r="N3" s="3"/>
      <c r="O3" s="4"/>
    </row>
    <row r="4" spans="2:15" ht="15.75">
      <c r="B4" s="108"/>
      <c r="C4" s="100"/>
      <c r="D4" s="100"/>
      <c r="E4" s="100"/>
      <c r="F4" s="100"/>
      <c r="G4" s="108"/>
      <c r="H4" s="5"/>
      <c r="I4" s="3"/>
      <c r="J4" s="6"/>
      <c r="K4" s="7"/>
      <c r="L4" s="3"/>
      <c r="M4" s="6"/>
      <c r="N4" s="7"/>
      <c r="O4" s="4"/>
    </row>
    <row r="5" spans="2:15" ht="15.75">
      <c r="B5" s="108"/>
      <c r="C5" s="108"/>
      <c r="D5" s="108"/>
      <c r="E5" s="108"/>
      <c r="F5" s="108"/>
      <c r="G5" s="108"/>
      <c r="H5" s="5"/>
      <c r="I5" s="5"/>
      <c r="J5" s="8"/>
      <c r="K5" s="6"/>
      <c r="L5" s="5"/>
      <c r="M5" s="8"/>
      <c r="N5" s="6"/>
      <c r="O5" s="4"/>
    </row>
    <row r="6" spans="2:15" ht="15.75">
      <c r="B6" s="109" t="s">
        <v>57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</row>
    <row r="7" spans="2:15" ht="15.75">
      <c r="B7" s="110" t="s">
        <v>64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</row>
    <row r="8" spans="2:15" ht="15.7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ht="15.75">
      <c r="B9" s="111"/>
      <c r="C9" s="108"/>
      <c r="D9" s="108"/>
      <c r="E9" s="108"/>
      <c r="F9" s="108"/>
      <c r="G9" s="108"/>
      <c r="H9" s="108"/>
      <c r="I9" s="11"/>
      <c r="J9" s="9"/>
      <c r="K9" s="11"/>
      <c r="L9" s="11"/>
      <c r="M9" s="9"/>
      <c r="N9" s="11"/>
      <c r="O9" s="4"/>
    </row>
    <row r="10" spans="2:15" ht="15.75">
      <c r="B10" s="112" t="s">
        <v>0</v>
      </c>
      <c r="C10" s="114" t="s">
        <v>1</v>
      </c>
      <c r="D10" s="115"/>
      <c r="E10" s="115"/>
      <c r="F10" s="115"/>
      <c r="G10" s="115"/>
      <c r="H10" s="116"/>
      <c r="I10" s="120" t="s">
        <v>2</v>
      </c>
      <c r="J10" s="103"/>
      <c r="K10" s="104"/>
      <c r="L10" s="120" t="s">
        <v>3</v>
      </c>
      <c r="M10" s="103"/>
      <c r="N10" s="104"/>
      <c r="O10" s="121" t="s">
        <v>4</v>
      </c>
    </row>
    <row r="11" spans="2:15" ht="15.75">
      <c r="B11" s="113"/>
      <c r="C11" s="117"/>
      <c r="D11" s="118"/>
      <c r="E11" s="118"/>
      <c r="F11" s="118"/>
      <c r="G11" s="118"/>
      <c r="H11" s="119"/>
      <c r="I11" s="12" t="s">
        <v>5</v>
      </c>
      <c r="J11" s="12" t="s">
        <v>6</v>
      </c>
      <c r="K11" s="12" t="s">
        <v>7</v>
      </c>
      <c r="L11" s="12" t="s">
        <v>5</v>
      </c>
      <c r="M11" s="12" t="s">
        <v>6</v>
      </c>
      <c r="N11" s="12" t="s">
        <v>8</v>
      </c>
      <c r="O11" s="122"/>
    </row>
    <row r="12" spans="2:15" ht="15.75">
      <c r="B12" s="12">
        <v>1</v>
      </c>
      <c r="C12" s="102">
        <v>2</v>
      </c>
      <c r="D12" s="103"/>
      <c r="E12" s="103"/>
      <c r="F12" s="103"/>
      <c r="G12" s="103"/>
      <c r="H12" s="104"/>
      <c r="I12" s="12">
        <v>3</v>
      </c>
      <c r="J12" s="12">
        <v>4</v>
      </c>
      <c r="K12" s="12">
        <v>5</v>
      </c>
      <c r="L12" s="12">
        <v>3</v>
      </c>
      <c r="M12" s="12">
        <v>4</v>
      </c>
      <c r="N12" s="12">
        <v>5</v>
      </c>
      <c r="O12" s="12">
        <v>6</v>
      </c>
    </row>
    <row r="13" spans="2:15" ht="15.75">
      <c r="B13" s="13"/>
      <c r="C13" s="14">
        <v>1</v>
      </c>
      <c r="D13" s="15" t="s">
        <v>9</v>
      </c>
      <c r="E13" s="16"/>
      <c r="F13" s="16"/>
      <c r="G13" s="16"/>
      <c r="H13" s="17"/>
      <c r="I13" s="18">
        <v>1002980</v>
      </c>
      <c r="J13" s="19"/>
      <c r="K13" s="20">
        <f t="shared" ref="K13:L13" si="0">SUM(K14:K22)</f>
        <v>106956030000</v>
      </c>
      <c r="L13" s="93">
        <f t="shared" si="0"/>
        <v>45662</v>
      </c>
      <c r="M13" s="19"/>
      <c r="N13" s="20">
        <f>SUM(N14:N22)</f>
        <v>4888410000</v>
      </c>
      <c r="O13" s="21">
        <f t="shared" ref="O13:O22" si="1">N13/K13</f>
        <v>4.5704856472327929E-2</v>
      </c>
    </row>
    <row r="14" spans="2:15" ht="15.75">
      <c r="B14" s="22"/>
      <c r="C14" s="23"/>
      <c r="D14" s="24" t="s">
        <v>10</v>
      </c>
      <c r="E14" s="25" t="s">
        <v>11</v>
      </c>
      <c r="F14" s="24"/>
      <c r="G14" s="24"/>
      <c r="H14" s="26"/>
      <c r="I14" s="27">
        <v>294130</v>
      </c>
      <c r="J14" s="28">
        <v>120000</v>
      </c>
      <c r="K14" s="91">
        <f t="shared" ref="K14:K22" si="2">I14*J14</f>
        <v>35295600000</v>
      </c>
      <c r="L14" s="95">
        <v>14055</v>
      </c>
      <c r="M14" s="92">
        <v>120000</v>
      </c>
      <c r="N14" s="28">
        <f t="shared" ref="N14:N22" si="3">L14*M14</f>
        <v>1686600000</v>
      </c>
      <c r="O14" s="29">
        <f t="shared" si="1"/>
        <v>4.7784993030292724E-2</v>
      </c>
    </row>
    <row r="15" spans="2:15" ht="15.75">
      <c r="B15" s="22"/>
      <c r="C15" s="23"/>
      <c r="D15" s="24" t="s">
        <v>12</v>
      </c>
      <c r="E15" s="25" t="s">
        <v>13</v>
      </c>
      <c r="F15" s="24"/>
      <c r="G15" s="24"/>
      <c r="H15" s="26"/>
      <c r="I15" s="27">
        <v>30304</v>
      </c>
      <c r="J15" s="28">
        <v>120000</v>
      </c>
      <c r="K15" s="91">
        <f t="shared" si="2"/>
        <v>3636480000</v>
      </c>
      <c r="L15" s="95">
        <v>1516</v>
      </c>
      <c r="M15" s="92">
        <v>120000</v>
      </c>
      <c r="N15" s="28">
        <f t="shared" si="3"/>
        <v>181920000</v>
      </c>
      <c r="O15" s="29">
        <f t="shared" si="1"/>
        <v>5.0026399155227032E-2</v>
      </c>
    </row>
    <row r="16" spans="2:15" ht="15.75">
      <c r="B16" s="22"/>
      <c r="C16" s="23"/>
      <c r="D16" s="24" t="s">
        <v>14</v>
      </c>
      <c r="E16" s="25" t="s">
        <v>15</v>
      </c>
      <c r="F16" s="24"/>
      <c r="G16" s="24"/>
      <c r="H16" s="26"/>
      <c r="I16" s="27">
        <v>13370</v>
      </c>
      <c r="J16" s="28">
        <v>120000</v>
      </c>
      <c r="K16" s="91">
        <f t="shared" si="2"/>
        <v>1604400000</v>
      </c>
      <c r="L16" s="96">
        <v>552</v>
      </c>
      <c r="M16" s="92">
        <v>120000</v>
      </c>
      <c r="N16" s="28">
        <f t="shared" si="3"/>
        <v>66240000</v>
      </c>
      <c r="O16" s="29">
        <f t="shared" si="1"/>
        <v>4.1286462228870606E-2</v>
      </c>
    </row>
    <row r="17" spans="2:15" ht="15.75">
      <c r="B17" s="22"/>
      <c r="C17" s="23"/>
      <c r="D17" s="24" t="s">
        <v>16</v>
      </c>
      <c r="E17" s="25" t="s">
        <v>17</v>
      </c>
      <c r="F17" s="24"/>
      <c r="G17" s="24"/>
      <c r="H17" s="26"/>
      <c r="I17" s="27">
        <v>662649</v>
      </c>
      <c r="J17" s="28">
        <v>100000</v>
      </c>
      <c r="K17" s="91">
        <f t="shared" si="2"/>
        <v>66264900000</v>
      </c>
      <c r="L17" s="95">
        <v>29527</v>
      </c>
      <c r="M17" s="92">
        <v>100000</v>
      </c>
      <c r="N17" s="28">
        <f t="shared" si="3"/>
        <v>2952700000</v>
      </c>
      <c r="O17" s="29">
        <f t="shared" si="1"/>
        <v>4.4559035024575602E-2</v>
      </c>
    </row>
    <row r="18" spans="2:15" ht="15.75">
      <c r="B18" s="22"/>
      <c r="C18" s="23"/>
      <c r="D18" s="24" t="s">
        <v>18</v>
      </c>
      <c r="E18" s="25" t="s">
        <v>19</v>
      </c>
      <c r="F18" s="24"/>
      <c r="G18" s="24"/>
      <c r="H18" s="26"/>
      <c r="I18" s="27">
        <v>299</v>
      </c>
      <c r="J18" s="28">
        <v>100000</v>
      </c>
      <c r="K18" s="91">
        <f t="shared" si="2"/>
        <v>29900000</v>
      </c>
      <c r="L18" s="96">
        <v>7</v>
      </c>
      <c r="M18" s="92">
        <v>100000</v>
      </c>
      <c r="N18" s="28">
        <f t="shared" si="3"/>
        <v>700000</v>
      </c>
      <c r="O18" s="29">
        <f t="shared" si="1"/>
        <v>2.3411371237458192E-2</v>
      </c>
    </row>
    <row r="19" spans="2:15" ht="15.75">
      <c r="B19" s="22"/>
      <c r="C19" s="23"/>
      <c r="D19" s="24" t="s">
        <v>20</v>
      </c>
      <c r="E19" s="25" t="s">
        <v>21</v>
      </c>
      <c r="F19" s="24"/>
      <c r="G19" s="24"/>
      <c r="H19" s="26"/>
      <c r="I19" s="27">
        <v>267</v>
      </c>
      <c r="J19" s="28">
        <v>100000</v>
      </c>
      <c r="K19" s="91">
        <f t="shared" si="2"/>
        <v>26700000</v>
      </c>
      <c r="L19" s="96">
        <v>0</v>
      </c>
      <c r="M19" s="92">
        <v>100000</v>
      </c>
      <c r="N19" s="28">
        <f t="shared" si="3"/>
        <v>0</v>
      </c>
      <c r="O19" s="29">
        <f t="shared" si="1"/>
        <v>0</v>
      </c>
    </row>
    <row r="20" spans="2:15" ht="15.75">
      <c r="B20" s="22"/>
      <c r="C20" s="23"/>
      <c r="D20" s="24" t="s">
        <v>22</v>
      </c>
      <c r="E20" s="25" t="s">
        <v>23</v>
      </c>
      <c r="F20" s="24"/>
      <c r="G20" s="24"/>
      <c r="H20" s="26"/>
      <c r="I20" s="27">
        <v>1925</v>
      </c>
      <c r="J20" s="28">
        <v>50000</v>
      </c>
      <c r="K20" s="91">
        <f t="shared" si="2"/>
        <v>96250000</v>
      </c>
      <c r="L20" s="96">
        <v>5</v>
      </c>
      <c r="M20" s="92">
        <v>50000</v>
      </c>
      <c r="N20" s="28">
        <f t="shared" si="3"/>
        <v>250000</v>
      </c>
      <c r="O20" s="29">
        <f t="shared" si="1"/>
        <v>2.5974025974025974E-3</v>
      </c>
    </row>
    <row r="21" spans="2:15" ht="15.75">
      <c r="B21" s="22"/>
      <c r="C21" s="23"/>
      <c r="D21" s="24" t="s">
        <v>24</v>
      </c>
      <c r="E21" s="25" t="s">
        <v>25</v>
      </c>
      <c r="F21" s="24"/>
      <c r="G21" s="24"/>
      <c r="H21" s="26"/>
      <c r="I21" s="27">
        <v>36</v>
      </c>
      <c r="J21" s="28">
        <v>50000</v>
      </c>
      <c r="K21" s="91">
        <f t="shared" si="2"/>
        <v>1800000</v>
      </c>
      <c r="L21" s="96">
        <v>0</v>
      </c>
      <c r="M21" s="92">
        <v>50000</v>
      </c>
      <c r="N21" s="28">
        <f t="shared" si="3"/>
        <v>0</v>
      </c>
      <c r="O21" s="29">
        <f t="shared" si="1"/>
        <v>0</v>
      </c>
    </row>
    <row r="22" spans="2:15" ht="15.75">
      <c r="B22" s="22"/>
      <c r="C22" s="23"/>
      <c r="D22" s="24" t="s">
        <v>26</v>
      </c>
      <c r="E22" s="25" t="s">
        <v>27</v>
      </c>
      <c r="F22" s="24"/>
      <c r="G22" s="24"/>
      <c r="H22" s="26"/>
      <c r="I22" s="27">
        <v>0</v>
      </c>
      <c r="J22" s="28">
        <v>250000</v>
      </c>
      <c r="K22" s="91">
        <f t="shared" si="2"/>
        <v>0</v>
      </c>
      <c r="L22" s="97">
        <v>0</v>
      </c>
      <c r="M22" s="92">
        <v>250000</v>
      </c>
      <c r="N22" s="28">
        <f t="shared" si="3"/>
        <v>0</v>
      </c>
      <c r="O22" s="29" t="e">
        <f t="shared" si="1"/>
        <v>#DIV/0!</v>
      </c>
    </row>
    <row r="23" spans="2:15" ht="15.75">
      <c r="B23" s="22"/>
      <c r="C23" s="23"/>
      <c r="D23" s="24"/>
      <c r="E23" s="25"/>
      <c r="F23" s="24"/>
      <c r="G23" s="24"/>
      <c r="H23" s="26"/>
      <c r="I23" s="30"/>
      <c r="J23" s="28"/>
      <c r="K23" s="91"/>
      <c r="L23" s="98"/>
      <c r="M23" s="92"/>
      <c r="N23" s="28"/>
      <c r="O23" s="29"/>
    </row>
    <row r="24" spans="2:15" ht="15.75">
      <c r="B24" s="31"/>
      <c r="C24" s="32">
        <v>2</v>
      </c>
      <c r="D24" s="33" t="s">
        <v>28</v>
      </c>
      <c r="E24" s="34"/>
      <c r="F24" s="34"/>
      <c r="G24" s="34"/>
      <c r="H24" s="35"/>
      <c r="I24" s="36">
        <v>1997021</v>
      </c>
      <c r="J24" s="37"/>
      <c r="K24" s="38">
        <f t="shared" ref="K24:L24" si="4">SUM(K25:K33)</f>
        <v>153240870000</v>
      </c>
      <c r="L24" s="94">
        <f t="shared" si="4"/>
        <v>113312</v>
      </c>
      <c r="M24" s="37"/>
      <c r="N24" s="38">
        <f>SUM(N25:N33)</f>
        <v>8686150000</v>
      </c>
      <c r="O24" s="39">
        <f t="shared" ref="O24:O32" si="5">N24/K24</f>
        <v>5.6682985420273328E-2</v>
      </c>
    </row>
    <row r="25" spans="2:15" ht="15.75">
      <c r="B25" s="22"/>
      <c r="C25" s="23"/>
      <c r="D25" s="24" t="s">
        <v>10</v>
      </c>
      <c r="E25" s="25" t="s">
        <v>11</v>
      </c>
      <c r="F25" s="24"/>
      <c r="G25" s="24"/>
      <c r="H25" s="26"/>
      <c r="I25" s="27">
        <v>596792</v>
      </c>
      <c r="J25" s="28">
        <v>80000</v>
      </c>
      <c r="K25" s="28">
        <f t="shared" ref="K25:K33" si="6">I25*J25</f>
        <v>47743360000</v>
      </c>
      <c r="L25" s="27">
        <v>33650</v>
      </c>
      <c r="M25" s="28">
        <v>80000</v>
      </c>
      <c r="N25" s="28">
        <f t="shared" ref="N25:N33" si="7">L25*M25</f>
        <v>2692000000</v>
      </c>
      <c r="O25" s="29">
        <f t="shared" si="5"/>
        <v>5.6384804085845654E-2</v>
      </c>
    </row>
    <row r="26" spans="2:15" ht="15.75">
      <c r="B26" s="22"/>
      <c r="C26" s="23"/>
      <c r="D26" s="24" t="s">
        <v>12</v>
      </c>
      <c r="E26" s="25" t="s">
        <v>13</v>
      </c>
      <c r="F26" s="24"/>
      <c r="G26" s="24"/>
      <c r="H26" s="26"/>
      <c r="I26" s="27">
        <v>63576</v>
      </c>
      <c r="J26" s="28">
        <v>80000</v>
      </c>
      <c r="K26" s="28">
        <f t="shared" si="6"/>
        <v>5086080000</v>
      </c>
      <c r="L26" s="27">
        <v>2448</v>
      </c>
      <c r="M26" s="28">
        <v>80000</v>
      </c>
      <c r="N26" s="28">
        <f t="shared" si="7"/>
        <v>195840000</v>
      </c>
      <c r="O26" s="29">
        <f t="shared" si="5"/>
        <v>3.8505096262740658E-2</v>
      </c>
    </row>
    <row r="27" spans="2:15" ht="15.75">
      <c r="B27" s="22"/>
      <c r="C27" s="23"/>
      <c r="D27" s="24" t="s">
        <v>14</v>
      </c>
      <c r="E27" s="25" t="s">
        <v>15</v>
      </c>
      <c r="F27" s="24"/>
      <c r="G27" s="24"/>
      <c r="H27" s="26"/>
      <c r="I27" s="27">
        <v>35983</v>
      </c>
      <c r="J27" s="28">
        <v>80000</v>
      </c>
      <c r="K27" s="28">
        <f t="shared" si="6"/>
        <v>2878640000</v>
      </c>
      <c r="L27" s="27">
        <v>1560</v>
      </c>
      <c r="M27" s="28">
        <v>80000</v>
      </c>
      <c r="N27" s="28">
        <f t="shared" si="7"/>
        <v>124800000</v>
      </c>
      <c r="O27" s="29">
        <f t="shared" si="5"/>
        <v>4.3353805963927412E-2</v>
      </c>
    </row>
    <row r="28" spans="2:15" ht="15.75">
      <c r="B28" s="22"/>
      <c r="C28" s="23"/>
      <c r="D28" s="24" t="s">
        <v>16</v>
      </c>
      <c r="E28" s="25" t="s">
        <v>17</v>
      </c>
      <c r="F28" s="24"/>
      <c r="G28" s="24"/>
      <c r="H28" s="26"/>
      <c r="I28" s="27">
        <v>1296381</v>
      </c>
      <c r="J28" s="28">
        <v>75000</v>
      </c>
      <c r="K28" s="28">
        <f t="shared" si="6"/>
        <v>97228575000</v>
      </c>
      <c r="L28" s="27">
        <v>75642</v>
      </c>
      <c r="M28" s="28">
        <v>75000</v>
      </c>
      <c r="N28" s="28">
        <f t="shared" si="7"/>
        <v>5673150000</v>
      </c>
      <c r="O28" s="29">
        <f t="shared" si="5"/>
        <v>5.8348587336593177E-2</v>
      </c>
    </row>
    <row r="29" spans="2:15" ht="15.75">
      <c r="B29" s="22"/>
      <c r="C29" s="23"/>
      <c r="D29" s="24" t="s">
        <v>18</v>
      </c>
      <c r="E29" s="25" t="s">
        <v>19</v>
      </c>
      <c r="F29" s="24"/>
      <c r="G29" s="24"/>
      <c r="H29" s="26"/>
      <c r="I29" s="27">
        <v>3815</v>
      </c>
      <c r="J29" s="28">
        <v>75000</v>
      </c>
      <c r="K29" s="28">
        <f t="shared" si="6"/>
        <v>286125000</v>
      </c>
      <c r="L29" s="27">
        <v>0</v>
      </c>
      <c r="M29" s="28">
        <v>75000</v>
      </c>
      <c r="N29" s="28">
        <f t="shared" si="7"/>
        <v>0</v>
      </c>
      <c r="O29" s="29">
        <f t="shared" si="5"/>
        <v>0</v>
      </c>
    </row>
    <row r="30" spans="2:15" ht="15.75">
      <c r="B30" s="22"/>
      <c r="C30" s="23"/>
      <c r="D30" s="24" t="s">
        <v>20</v>
      </c>
      <c r="E30" s="25" t="s">
        <v>21</v>
      </c>
      <c r="F30" s="24"/>
      <c r="G30" s="24"/>
      <c r="H30" s="26"/>
      <c r="I30" s="27">
        <v>86</v>
      </c>
      <c r="J30" s="28">
        <v>75000</v>
      </c>
      <c r="K30" s="28">
        <f t="shared" si="6"/>
        <v>6450000</v>
      </c>
      <c r="L30" s="27">
        <v>0</v>
      </c>
      <c r="M30" s="28">
        <v>75000</v>
      </c>
      <c r="N30" s="28">
        <f t="shared" si="7"/>
        <v>0</v>
      </c>
      <c r="O30" s="29">
        <f t="shared" si="5"/>
        <v>0</v>
      </c>
    </row>
    <row r="31" spans="2:15" ht="15.75">
      <c r="B31" s="22"/>
      <c r="C31" s="23"/>
      <c r="D31" s="24" t="s">
        <v>22</v>
      </c>
      <c r="E31" s="25" t="s">
        <v>23</v>
      </c>
      <c r="F31" s="24"/>
      <c r="G31" s="24"/>
      <c r="H31" s="26"/>
      <c r="I31" s="27">
        <v>360</v>
      </c>
      <c r="J31" s="28">
        <v>30000</v>
      </c>
      <c r="K31" s="28">
        <f t="shared" si="6"/>
        <v>10800000</v>
      </c>
      <c r="L31" s="27">
        <v>12</v>
      </c>
      <c r="M31" s="28">
        <v>30000</v>
      </c>
      <c r="N31" s="28">
        <f t="shared" si="7"/>
        <v>360000</v>
      </c>
      <c r="O31" s="29">
        <f t="shared" si="5"/>
        <v>3.3333333333333333E-2</v>
      </c>
    </row>
    <row r="32" spans="2:15" ht="15.75">
      <c r="B32" s="22"/>
      <c r="C32" s="23"/>
      <c r="D32" s="24" t="s">
        <v>24</v>
      </c>
      <c r="E32" s="25" t="s">
        <v>25</v>
      </c>
      <c r="F32" s="24"/>
      <c r="G32" s="24"/>
      <c r="H32" s="26"/>
      <c r="I32" s="27">
        <v>28</v>
      </c>
      <c r="J32" s="28">
        <v>30000</v>
      </c>
      <c r="K32" s="28">
        <f t="shared" si="6"/>
        <v>840000</v>
      </c>
      <c r="L32" s="27">
        <v>0</v>
      </c>
      <c r="M32" s="28">
        <v>30000</v>
      </c>
      <c r="N32" s="28">
        <f t="shared" si="7"/>
        <v>0</v>
      </c>
      <c r="O32" s="29">
        <f t="shared" si="5"/>
        <v>0</v>
      </c>
    </row>
    <row r="33" spans="2:15" ht="15.75">
      <c r="B33" s="22"/>
      <c r="C33" s="23"/>
      <c r="D33" s="24" t="s">
        <v>26</v>
      </c>
      <c r="E33" s="25" t="s">
        <v>29</v>
      </c>
      <c r="F33" s="24"/>
      <c r="G33" s="24"/>
      <c r="H33" s="26"/>
      <c r="I33" s="27">
        <v>0</v>
      </c>
      <c r="J33" s="28">
        <v>225000</v>
      </c>
      <c r="K33" s="28">
        <f t="shared" si="6"/>
        <v>0</v>
      </c>
      <c r="L33" s="27">
        <v>0</v>
      </c>
      <c r="M33" s="28">
        <v>225000</v>
      </c>
      <c r="N33" s="28">
        <f t="shared" si="7"/>
        <v>0</v>
      </c>
      <c r="O33" s="29"/>
    </row>
    <row r="34" spans="2:15" ht="15.75">
      <c r="B34" s="22"/>
      <c r="C34" s="23"/>
      <c r="D34" s="24"/>
      <c r="E34" s="25"/>
      <c r="F34" s="24"/>
      <c r="G34" s="24"/>
      <c r="H34" s="26"/>
      <c r="I34" s="40"/>
      <c r="J34" s="28"/>
      <c r="K34" s="41"/>
      <c r="L34" s="40"/>
      <c r="M34" s="28"/>
      <c r="N34" s="41"/>
      <c r="O34" s="29"/>
    </row>
    <row r="35" spans="2:15" ht="15.75">
      <c r="B35" s="31"/>
      <c r="C35" s="32">
        <v>3</v>
      </c>
      <c r="D35" s="33" t="s">
        <v>30</v>
      </c>
      <c r="E35" s="42"/>
      <c r="F35" s="42"/>
      <c r="G35" s="42"/>
      <c r="H35" s="43"/>
      <c r="I35" s="36">
        <v>100000</v>
      </c>
      <c r="J35" s="38">
        <v>50000</v>
      </c>
      <c r="K35" s="38">
        <f>I35*J35</f>
        <v>5000000000</v>
      </c>
      <c r="L35" s="36">
        <v>6810</v>
      </c>
      <c r="M35" s="38">
        <v>50000</v>
      </c>
      <c r="N35" s="38">
        <f>L35*M35</f>
        <v>340500000</v>
      </c>
      <c r="O35" s="39">
        <f>N35/K35</f>
        <v>6.8099999999999994E-2</v>
      </c>
    </row>
    <row r="36" spans="2:15" ht="15.75">
      <c r="B36" s="22"/>
      <c r="C36" s="44"/>
      <c r="D36" s="45"/>
      <c r="E36" s="24"/>
      <c r="F36" s="24"/>
      <c r="G36" s="24"/>
      <c r="H36" s="26"/>
      <c r="I36" s="46"/>
      <c r="J36" s="28"/>
      <c r="K36" s="41"/>
      <c r="L36" s="46"/>
      <c r="M36" s="28"/>
      <c r="N36" s="41"/>
      <c r="O36" s="29"/>
    </row>
    <row r="37" spans="2:15" ht="15.75">
      <c r="B37" s="31"/>
      <c r="C37" s="32">
        <v>4</v>
      </c>
      <c r="D37" s="33" t="s">
        <v>31</v>
      </c>
      <c r="E37" s="34"/>
      <c r="F37" s="34"/>
      <c r="G37" s="34"/>
      <c r="H37" s="35"/>
      <c r="I37" s="36">
        <v>6000000</v>
      </c>
      <c r="J37" s="37"/>
      <c r="K37" s="38">
        <f>+K38+K41</f>
        <v>727309900000</v>
      </c>
      <c r="L37" s="36">
        <f>L38+L41</f>
        <v>254870</v>
      </c>
      <c r="M37" s="37"/>
      <c r="N37" s="38">
        <f>+N38+N41</f>
        <v>29720400000</v>
      </c>
      <c r="O37" s="39">
        <f t="shared" ref="O37:O43" si="8">N37/K37</f>
        <v>4.0863461366330914E-2</v>
      </c>
    </row>
    <row r="38" spans="2:15" ht="15.75">
      <c r="B38" s="22"/>
      <c r="C38" s="23"/>
      <c r="D38" s="47" t="s">
        <v>10</v>
      </c>
      <c r="E38" s="45" t="s">
        <v>32</v>
      </c>
      <c r="F38" s="24"/>
      <c r="G38" s="24"/>
      <c r="H38" s="26"/>
      <c r="I38" s="48">
        <v>4726901</v>
      </c>
      <c r="J38" s="49"/>
      <c r="K38" s="50">
        <f t="shared" ref="K38:L38" si="9">SUM(K39:K40)</f>
        <v>472690100000</v>
      </c>
      <c r="L38" s="48">
        <f t="shared" si="9"/>
        <v>212536</v>
      </c>
      <c r="M38" s="49"/>
      <c r="N38" s="50">
        <f>SUM(N39:N40)</f>
        <v>21253600000</v>
      </c>
      <c r="O38" s="29">
        <f t="shared" si="8"/>
        <v>4.4963074115578053E-2</v>
      </c>
    </row>
    <row r="39" spans="2:15" ht="15.75">
      <c r="B39" s="22"/>
      <c r="C39" s="23"/>
      <c r="D39" s="24"/>
      <c r="E39" s="24" t="s">
        <v>33</v>
      </c>
      <c r="F39" s="25" t="s">
        <v>34</v>
      </c>
      <c r="G39" s="24"/>
      <c r="H39" s="26"/>
      <c r="I39" s="27">
        <v>2267860</v>
      </c>
      <c r="J39" s="28">
        <v>100000</v>
      </c>
      <c r="K39" s="28">
        <f t="shared" ref="K39:K40" si="10">I39*J39</f>
        <v>226786000000</v>
      </c>
      <c r="L39" s="27">
        <v>56885</v>
      </c>
      <c r="M39" s="28">
        <v>100000</v>
      </c>
      <c r="N39" s="28">
        <f t="shared" ref="N39:N40" si="11">L39*M39</f>
        <v>5688500000</v>
      </c>
      <c r="O39" s="29">
        <f t="shared" si="8"/>
        <v>2.5083118005520624E-2</v>
      </c>
    </row>
    <row r="40" spans="2:15" ht="15.75">
      <c r="B40" s="22"/>
      <c r="C40" s="23"/>
      <c r="D40" s="24"/>
      <c r="E40" s="24" t="s">
        <v>35</v>
      </c>
      <c r="F40" s="25" t="s">
        <v>36</v>
      </c>
      <c r="G40" s="24"/>
      <c r="H40" s="26"/>
      <c r="I40" s="27">
        <v>2459041</v>
      </c>
      <c r="J40" s="28">
        <v>100000</v>
      </c>
      <c r="K40" s="28">
        <f t="shared" si="10"/>
        <v>245904100000</v>
      </c>
      <c r="L40" s="27">
        <v>155651</v>
      </c>
      <c r="M40" s="28">
        <v>100000</v>
      </c>
      <c r="N40" s="28">
        <f t="shared" si="11"/>
        <v>15565100000</v>
      </c>
      <c r="O40" s="29">
        <f t="shared" si="8"/>
        <v>6.3297439936951028E-2</v>
      </c>
    </row>
    <row r="41" spans="2:15" ht="15.75">
      <c r="B41" s="22"/>
      <c r="C41" s="23"/>
      <c r="D41" s="47" t="s">
        <v>12</v>
      </c>
      <c r="E41" s="45" t="s">
        <v>37</v>
      </c>
      <c r="F41" s="24"/>
      <c r="G41" s="24"/>
      <c r="H41" s="26"/>
      <c r="I41" s="48">
        <v>1273099</v>
      </c>
      <c r="J41" s="49"/>
      <c r="K41" s="50">
        <f t="shared" ref="K41:L41" si="12">SUM(K42:K43)</f>
        <v>254619800000</v>
      </c>
      <c r="L41" s="48">
        <f t="shared" si="12"/>
        <v>42334</v>
      </c>
      <c r="M41" s="49"/>
      <c r="N41" s="50">
        <f>SUM(N42:N43)</f>
        <v>8466800000</v>
      </c>
      <c r="O41" s="29">
        <f t="shared" si="8"/>
        <v>3.3252716403044856E-2</v>
      </c>
    </row>
    <row r="42" spans="2:15" ht="15.75">
      <c r="B42" s="22"/>
      <c r="C42" s="23"/>
      <c r="D42" s="24"/>
      <c r="E42" s="24" t="s">
        <v>33</v>
      </c>
      <c r="F42" s="25" t="s">
        <v>34</v>
      </c>
      <c r="G42" s="24"/>
      <c r="H42" s="26"/>
      <c r="I42" s="27">
        <v>626781</v>
      </c>
      <c r="J42" s="28">
        <v>200000</v>
      </c>
      <c r="K42" s="28">
        <f t="shared" ref="K42:K43" si="13">I42*J42</f>
        <v>125356200000</v>
      </c>
      <c r="L42" s="27">
        <v>6330</v>
      </c>
      <c r="M42" s="28">
        <v>200000</v>
      </c>
      <c r="N42" s="28">
        <f t="shared" ref="N42:N43" si="14">L42*M42</f>
        <v>1266000000</v>
      </c>
      <c r="O42" s="29">
        <f t="shared" si="8"/>
        <v>1.0099221259100068E-2</v>
      </c>
    </row>
    <row r="43" spans="2:15" ht="15.75">
      <c r="B43" s="22"/>
      <c r="C43" s="23"/>
      <c r="D43" s="24"/>
      <c r="E43" s="24" t="s">
        <v>35</v>
      </c>
      <c r="F43" s="25" t="s">
        <v>36</v>
      </c>
      <c r="G43" s="24"/>
      <c r="H43" s="26"/>
      <c r="I43" s="27">
        <v>646318</v>
      </c>
      <c r="J43" s="28">
        <v>200000</v>
      </c>
      <c r="K43" s="28">
        <f t="shared" si="13"/>
        <v>129263600000</v>
      </c>
      <c r="L43" s="27">
        <v>36004</v>
      </c>
      <c r="M43" s="28">
        <v>200000</v>
      </c>
      <c r="N43" s="28">
        <f t="shared" si="14"/>
        <v>7200800000</v>
      </c>
      <c r="O43" s="29">
        <f t="shared" si="8"/>
        <v>5.5706324131464695E-2</v>
      </c>
    </row>
    <row r="44" spans="2:15" ht="15.75">
      <c r="B44" s="51"/>
      <c r="C44" s="52"/>
      <c r="D44" s="53"/>
      <c r="E44" s="53"/>
      <c r="F44" s="54"/>
      <c r="G44" s="53"/>
      <c r="H44" s="55"/>
      <c r="I44" s="56"/>
      <c r="J44" s="57"/>
      <c r="K44" s="58"/>
      <c r="L44" s="56"/>
      <c r="M44" s="57"/>
      <c r="N44" s="58"/>
      <c r="O44" s="59"/>
    </row>
    <row r="45" spans="2:15" ht="15.75">
      <c r="B45" s="60"/>
      <c r="C45" s="61">
        <v>5</v>
      </c>
      <c r="D45" s="62" t="s">
        <v>38</v>
      </c>
      <c r="E45" s="63"/>
      <c r="F45" s="63"/>
      <c r="G45" s="63"/>
      <c r="H45" s="64"/>
      <c r="I45" s="65">
        <v>6000000</v>
      </c>
      <c r="J45" s="66"/>
      <c r="K45" s="65">
        <f>SUM(K46,K47)</f>
        <v>411586320000</v>
      </c>
      <c r="L45" s="65">
        <f>SUM(L46:L47)</f>
        <v>248328</v>
      </c>
      <c r="M45" s="66"/>
      <c r="N45" s="65">
        <f>SUM(N46,N47)</f>
        <v>16565760000</v>
      </c>
      <c r="O45" s="67">
        <f t="shared" ref="O45:O47" si="15">N45/K45</f>
        <v>4.0248568028208517E-2</v>
      </c>
    </row>
    <row r="46" spans="2:15" ht="15.75">
      <c r="B46" s="22"/>
      <c r="C46" s="23"/>
      <c r="D46" s="24" t="s">
        <v>10</v>
      </c>
      <c r="E46" s="25" t="s">
        <v>39</v>
      </c>
      <c r="F46" s="24"/>
      <c r="G46" s="24"/>
      <c r="H46" s="26"/>
      <c r="I46" s="48">
        <v>4710342</v>
      </c>
      <c r="J46" s="28">
        <v>60000</v>
      </c>
      <c r="K46" s="27">
        <f t="shared" ref="K46:K47" si="16">I46*J46</f>
        <v>282620520000</v>
      </c>
      <c r="L46" s="27">
        <v>206676</v>
      </c>
      <c r="M46" s="28">
        <v>60000</v>
      </c>
      <c r="N46" s="28">
        <f t="shared" ref="N46:N47" si="17">L46*M46</f>
        <v>12400560000</v>
      </c>
      <c r="O46" s="29">
        <f t="shared" si="15"/>
        <v>4.3877068798826073E-2</v>
      </c>
    </row>
    <row r="47" spans="2:15" ht="15.75">
      <c r="B47" s="22"/>
      <c r="C47" s="23"/>
      <c r="D47" s="24" t="s">
        <v>12</v>
      </c>
      <c r="E47" s="25" t="s">
        <v>40</v>
      </c>
      <c r="F47" s="24"/>
      <c r="G47" s="24"/>
      <c r="H47" s="26"/>
      <c r="I47" s="27">
        <v>1289658</v>
      </c>
      <c r="J47" s="28">
        <v>100000</v>
      </c>
      <c r="K47" s="28">
        <f t="shared" si="16"/>
        <v>128965800000</v>
      </c>
      <c r="L47" s="27">
        <v>41652</v>
      </c>
      <c r="M47" s="28">
        <v>100000</v>
      </c>
      <c r="N47" s="28">
        <f t="shared" si="17"/>
        <v>4165200000</v>
      </c>
      <c r="O47" s="29">
        <f t="shared" si="15"/>
        <v>3.2296934536132832E-2</v>
      </c>
    </row>
    <row r="48" spans="2:15" ht="15.75">
      <c r="B48" s="22"/>
      <c r="C48" s="23"/>
      <c r="D48" s="24"/>
      <c r="E48" s="25"/>
      <c r="F48" s="24"/>
      <c r="G48" s="24"/>
      <c r="H48" s="26"/>
      <c r="I48" s="27"/>
      <c r="J48" s="28"/>
      <c r="K48" s="28"/>
      <c r="L48" s="27"/>
      <c r="M48" s="28"/>
      <c r="N48" s="28"/>
      <c r="O48" s="29"/>
    </row>
    <row r="49" spans="2:15" ht="15.75">
      <c r="B49" s="31"/>
      <c r="C49" s="32">
        <v>6</v>
      </c>
      <c r="D49" s="33" t="s">
        <v>41</v>
      </c>
      <c r="E49" s="34"/>
      <c r="F49" s="34"/>
      <c r="G49" s="34"/>
      <c r="H49" s="35"/>
      <c r="I49" s="36">
        <v>1500000</v>
      </c>
      <c r="J49" s="37"/>
      <c r="K49" s="38">
        <f t="shared" ref="K49:L49" si="18">SUM(K50:K51)</f>
        <v>43861750000</v>
      </c>
      <c r="L49" s="36">
        <f t="shared" si="18"/>
        <v>63495</v>
      </c>
      <c r="M49" s="37"/>
      <c r="N49" s="38">
        <f>SUM(N50:N51)</f>
        <v>1749475000</v>
      </c>
      <c r="O49" s="39">
        <f t="shared" ref="O49:O51" si="19">N49/K49</f>
        <v>3.9886119454878112E-2</v>
      </c>
    </row>
    <row r="50" spans="2:15" ht="15.75">
      <c r="B50" s="22"/>
      <c r="C50" s="23"/>
      <c r="D50" s="24" t="s">
        <v>10</v>
      </c>
      <c r="E50" s="25" t="s">
        <v>39</v>
      </c>
      <c r="F50" s="24"/>
      <c r="G50" s="24"/>
      <c r="H50" s="26"/>
      <c r="I50" s="27">
        <v>1245530</v>
      </c>
      <c r="J50" s="28">
        <v>25000</v>
      </c>
      <c r="K50" s="28">
        <f t="shared" ref="K50:K51" si="20">I50*J50</f>
        <v>31138250000</v>
      </c>
      <c r="L50" s="27">
        <v>57011</v>
      </c>
      <c r="M50" s="28">
        <v>25000</v>
      </c>
      <c r="N50" s="28">
        <f t="shared" ref="N50:N51" si="21">L50*M50</f>
        <v>1425275000</v>
      </c>
      <c r="O50" s="29">
        <f t="shared" si="19"/>
        <v>4.577248239705186E-2</v>
      </c>
    </row>
    <row r="51" spans="2:15" ht="15.75">
      <c r="B51" s="22"/>
      <c r="C51" s="23"/>
      <c r="D51" s="24" t="s">
        <v>12</v>
      </c>
      <c r="E51" s="25" t="s">
        <v>40</v>
      </c>
      <c r="F51" s="24"/>
      <c r="G51" s="24"/>
      <c r="H51" s="26"/>
      <c r="I51" s="27">
        <v>254470</v>
      </c>
      <c r="J51" s="28">
        <v>50000</v>
      </c>
      <c r="K51" s="28">
        <f t="shared" si="20"/>
        <v>12723500000</v>
      </c>
      <c r="L51" s="27">
        <v>6484</v>
      </c>
      <c r="M51" s="28">
        <v>50000</v>
      </c>
      <c r="N51" s="28">
        <f t="shared" si="21"/>
        <v>324200000</v>
      </c>
      <c r="O51" s="29">
        <f t="shared" si="19"/>
        <v>2.5480410264471252E-2</v>
      </c>
    </row>
    <row r="52" spans="2:15" ht="15.75">
      <c r="B52" s="22"/>
      <c r="C52" s="23"/>
      <c r="D52" s="24"/>
      <c r="E52" s="25"/>
      <c r="F52" s="24"/>
      <c r="G52" s="24"/>
      <c r="H52" s="26"/>
      <c r="I52" s="27"/>
      <c r="J52" s="49"/>
      <c r="K52" s="41"/>
      <c r="L52" s="27"/>
      <c r="M52" s="49"/>
      <c r="N52" s="41"/>
      <c r="O52" s="29"/>
    </row>
    <row r="53" spans="2:15" ht="15.75">
      <c r="B53" s="31"/>
      <c r="C53" s="32">
        <v>7</v>
      </c>
      <c r="D53" s="33" t="s">
        <v>42</v>
      </c>
      <c r="E53" s="34"/>
      <c r="F53" s="34"/>
      <c r="G53" s="34"/>
      <c r="H53" s="35"/>
      <c r="I53" s="36">
        <v>75000</v>
      </c>
      <c r="J53" s="37"/>
      <c r="K53" s="38">
        <f t="shared" ref="K53:L53" si="22">SUM(K54:K55)</f>
        <v>5024800000</v>
      </c>
      <c r="L53" s="36">
        <f t="shared" si="22"/>
        <v>5243</v>
      </c>
      <c r="M53" s="37"/>
      <c r="N53" s="38">
        <f>SUM(N54:N55)</f>
        <v>364540000</v>
      </c>
      <c r="O53" s="39">
        <f t="shared" ref="O53:O55" si="23">N53/K53</f>
        <v>7.2548161120840629E-2</v>
      </c>
    </row>
    <row r="54" spans="2:15" ht="15.75">
      <c r="B54" s="22"/>
      <c r="C54" s="23"/>
      <c r="D54" s="24" t="s">
        <v>10</v>
      </c>
      <c r="E54" s="25" t="s">
        <v>39</v>
      </c>
      <c r="F54" s="24"/>
      <c r="G54" s="24"/>
      <c r="H54" s="26"/>
      <c r="I54" s="27">
        <v>61880</v>
      </c>
      <c r="J54" s="28">
        <v>60000</v>
      </c>
      <c r="K54" s="28">
        <f t="shared" ref="K54:K55" si="24">I54*J54</f>
        <v>3712800000</v>
      </c>
      <c r="L54" s="27">
        <v>3994</v>
      </c>
      <c r="M54" s="28">
        <v>60000</v>
      </c>
      <c r="N54" s="28">
        <f t="shared" ref="N54:N55" si="25">L54*M54</f>
        <v>239640000</v>
      </c>
      <c r="O54" s="29">
        <f t="shared" si="23"/>
        <v>6.454427925016161E-2</v>
      </c>
    </row>
    <row r="55" spans="2:15" ht="15.75">
      <c r="B55" s="22"/>
      <c r="C55" s="23"/>
      <c r="D55" s="24" t="s">
        <v>12</v>
      </c>
      <c r="E55" s="25" t="s">
        <v>40</v>
      </c>
      <c r="F55" s="24"/>
      <c r="G55" s="24"/>
      <c r="H55" s="26"/>
      <c r="I55" s="27">
        <v>13120</v>
      </c>
      <c r="J55" s="28">
        <v>100000</v>
      </c>
      <c r="K55" s="28">
        <f t="shared" si="24"/>
        <v>1312000000</v>
      </c>
      <c r="L55" s="27">
        <v>1249</v>
      </c>
      <c r="M55" s="28">
        <v>100000</v>
      </c>
      <c r="N55" s="28">
        <f t="shared" si="25"/>
        <v>124900000</v>
      </c>
      <c r="O55" s="29">
        <f t="shared" si="23"/>
        <v>9.5198170731707318E-2</v>
      </c>
    </row>
    <row r="56" spans="2:15" ht="15.75">
      <c r="B56" s="22"/>
      <c r="C56" s="23"/>
      <c r="D56" s="24"/>
      <c r="E56" s="25"/>
      <c r="F56" s="24"/>
      <c r="G56" s="24"/>
      <c r="H56" s="26"/>
      <c r="I56" s="27"/>
      <c r="J56" s="49"/>
      <c r="K56" s="41"/>
      <c r="L56" s="27"/>
      <c r="M56" s="49"/>
      <c r="N56" s="41"/>
      <c r="O56" s="29"/>
    </row>
    <row r="57" spans="2:15" ht="15.75">
      <c r="B57" s="31"/>
      <c r="C57" s="32">
        <v>8</v>
      </c>
      <c r="D57" s="33" t="s">
        <v>43</v>
      </c>
      <c r="E57" s="34"/>
      <c r="F57" s="34"/>
      <c r="G57" s="34"/>
      <c r="H57" s="35"/>
      <c r="I57" s="36">
        <v>2400000</v>
      </c>
      <c r="J57" s="37"/>
      <c r="K57" s="38">
        <f t="shared" ref="K57:L57" si="26">+K58+K61</f>
        <v>607771500000</v>
      </c>
      <c r="L57" s="36">
        <f t="shared" si="26"/>
        <v>101452</v>
      </c>
      <c r="M57" s="37"/>
      <c r="N57" s="38">
        <f>+N58+N61</f>
        <v>25580100000</v>
      </c>
      <c r="O57" s="39">
        <f t="shared" ref="O57:O63" si="27">N57/K57</f>
        <v>4.2088350638356684E-2</v>
      </c>
    </row>
    <row r="58" spans="2:15" ht="15.75">
      <c r="B58" s="22"/>
      <c r="C58" s="23"/>
      <c r="D58" s="47" t="s">
        <v>10</v>
      </c>
      <c r="E58" s="45" t="s">
        <v>32</v>
      </c>
      <c r="F58" s="24"/>
      <c r="G58" s="24"/>
      <c r="H58" s="26"/>
      <c r="I58" s="48">
        <v>1948190</v>
      </c>
      <c r="J58" s="49"/>
      <c r="K58" s="50">
        <f t="shared" ref="K58:L58" si="28">K59+K60</f>
        <v>438342750000</v>
      </c>
      <c r="L58" s="48">
        <f t="shared" si="28"/>
        <v>83096</v>
      </c>
      <c r="M58" s="49"/>
      <c r="N58" s="50">
        <f>N59+N60</f>
        <v>18696600000</v>
      </c>
      <c r="O58" s="29">
        <f t="shared" si="27"/>
        <v>4.2652923996119474E-2</v>
      </c>
    </row>
    <row r="59" spans="2:15" ht="15.75">
      <c r="B59" s="22"/>
      <c r="C59" s="23"/>
      <c r="D59" s="24"/>
      <c r="E59" s="24" t="s">
        <v>33</v>
      </c>
      <c r="F59" s="25" t="s">
        <v>34</v>
      </c>
      <c r="G59" s="24"/>
      <c r="H59" s="26"/>
      <c r="I59" s="27">
        <v>1619192</v>
      </c>
      <c r="J59" s="28">
        <v>225000</v>
      </c>
      <c r="K59" s="28">
        <f t="shared" ref="K59:K60" si="29">I59*J59</f>
        <v>364318200000</v>
      </c>
      <c r="L59" s="27">
        <v>56971</v>
      </c>
      <c r="M59" s="28">
        <v>225000</v>
      </c>
      <c r="N59" s="28">
        <f t="shared" ref="N59:N60" si="30">L59*M59</f>
        <v>12818475000</v>
      </c>
      <c r="O59" s="29">
        <f t="shared" si="27"/>
        <v>3.5184832929016446E-2</v>
      </c>
    </row>
    <row r="60" spans="2:15" ht="15.75">
      <c r="B60" s="22"/>
      <c r="C60" s="23"/>
      <c r="D60" s="24"/>
      <c r="E60" s="24" t="s">
        <v>35</v>
      </c>
      <c r="F60" s="25" t="s">
        <v>44</v>
      </c>
      <c r="G60" s="24"/>
      <c r="H60" s="26"/>
      <c r="I60" s="27">
        <v>328998</v>
      </c>
      <c r="J60" s="28">
        <v>225000</v>
      </c>
      <c r="K60" s="28">
        <f t="shared" si="29"/>
        <v>74024550000</v>
      </c>
      <c r="L60" s="27">
        <v>26125</v>
      </c>
      <c r="M60" s="28">
        <v>225000</v>
      </c>
      <c r="N60" s="28">
        <f t="shared" si="30"/>
        <v>5878125000</v>
      </c>
      <c r="O60" s="29">
        <f t="shared" si="27"/>
        <v>7.9407777554878753E-2</v>
      </c>
    </row>
    <row r="61" spans="2:15" ht="15.75">
      <c r="B61" s="22"/>
      <c r="C61" s="23"/>
      <c r="D61" s="47" t="s">
        <v>12</v>
      </c>
      <c r="E61" s="45" t="s">
        <v>40</v>
      </c>
      <c r="F61" s="24"/>
      <c r="G61" s="24"/>
      <c r="H61" s="26"/>
      <c r="I61" s="48">
        <v>451810</v>
      </c>
      <c r="J61" s="49"/>
      <c r="K61" s="48">
        <f t="shared" ref="K61:L61" si="31">K62+K63</f>
        <v>169428750000</v>
      </c>
      <c r="L61" s="48">
        <f t="shared" si="31"/>
        <v>18356</v>
      </c>
      <c r="M61" s="49"/>
      <c r="N61" s="48">
        <f>N62+N63</f>
        <v>6883500000</v>
      </c>
      <c r="O61" s="29">
        <f t="shared" si="27"/>
        <v>4.0627697483455433E-2</v>
      </c>
    </row>
    <row r="62" spans="2:15" ht="15.75">
      <c r="B62" s="22"/>
      <c r="C62" s="23"/>
      <c r="D62" s="24"/>
      <c r="E62" s="24" t="s">
        <v>33</v>
      </c>
      <c r="F62" s="25" t="s">
        <v>34</v>
      </c>
      <c r="G62" s="24"/>
      <c r="H62" s="26"/>
      <c r="I62" s="27">
        <v>319858</v>
      </c>
      <c r="J62" s="28">
        <v>375000</v>
      </c>
      <c r="K62" s="28">
        <f t="shared" ref="K62:K63" si="32">I62*J62</f>
        <v>119946750000</v>
      </c>
      <c r="L62" s="27">
        <v>6204</v>
      </c>
      <c r="M62" s="28">
        <v>375000</v>
      </c>
      <c r="N62" s="28">
        <f t="shared" ref="N62:N63" si="33">L62*M62</f>
        <v>2326500000</v>
      </c>
      <c r="O62" s="29">
        <f t="shared" si="27"/>
        <v>1.939610702249123E-2</v>
      </c>
    </row>
    <row r="63" spans="2:15" ht="15.75">
      <c r="B63" s="22"/>
      <c r="C63" s="23"/>
      <c r="D63" s="24"/>
      <c r="E63" s="24" t="s">
        <v>35</v>
      </c>
      <c r="F63" s="25" t="s">
        <v>44</v>
      </c>
      <c r="G63" s="24"/>
      <c r="H63" s="26"/>
      <c r="I63" s="27">
        <v>131952</v>
      </c>
      <c r="J63" s="28">
        <v>375000</v>
      </c>
      <c r="K63" s="28">
        <f t="shared" si="32"/>
        <v>49482000000</v>
      </c>
      <c r="L63" s="27">
        <v>12152</v>
      </c>
      <c r="M63" s="28">
        <v>375000</v>
      </c>
      <c r="N63" s="28">
        <f t="shared" si="33"/>
        <v>4557000000</v>
      </c>
      <c r="O63" s="29">
        <f t="shared" si="27"/>
        <v>9.209409482235964E-2</v>
      </c>
    </row>
    <row r="64" spans="2:15" ht="15.75">
      <c r="B64" s="22"/>
      <c r="C64" s="23"/>
      <c r="D64" s="24"/>
      <c r="E64" s="24"/>
      <c r="F64" s="25"/>
      <c r="G64" s="24"/>
      <c r="H64" s="26"/>
      <c r="I64" s="27"/>
      <c r="J64" s="49"/>
      <c r="K64" s="41"/>
      <c r="L64" s="27"/>
      <c r="M64" s="49"/>
      <c r="N64" s="41"/>
      <c r="O64" s="29"/>
    </row>
    <row r="65" spans="2:15" ht="15.75">
      <c r="B65" s="31"/>
      <c r="C65" s="32">
        <v>9</v>
      </c>
      <c r="D65" s="33" t="s">
        <v>45</v>
      </c>
      <c r="E65" s="34"/>
      <c r="F65" s="34"/>
      <c r="G65" s="34"/>
      <c r="H65" s="35"/>
      <c r="I65" s="36">
        <v>250000</v>
      </c>
      <c r="J65" s="37"/>
      <c r="K65" s="38">
        <f t="shared" ref="K65:L65" si="34">SUM(K66:K67)</f>
        <v>50337200000</v>
      </c>
      <c r="L65" s="36">
        <f t="shared" si="34"/>
        <v>13882</v>
      </c>
      <c r="M65" s="37"/>
      <c r="N65" s="38">
        <f>SUM(N66:N67)</f>
        <v>2770200000</v>
      </c>
      <c r="O65" s="39">
        <f t="shared" ref="O65:O67" si="35">N65/K65</f>
        <v>5.5032858402930637E-2</v>
      </c>
    </row>
    <row r="66" spans="2:15" ht="15.75">
      <c r="B66" s="22"/>
      <c r="C66" s="23"/>
      <c r="D66" s="24" t="s">
        <v>10</v>
      </c>
      <c r="E66" s="25" t="s">
        <v>46</v>
      </c>
      <c r="F66" s="24"/>
      <c r="G66" s="24"/>
      <c r="H66" s="26"/>
      <c r="I66" s="27">
        <v>121628</v>
      </c>
      <c r="J66" s="28">
        <v>150000</v>
      </c>
      <c r="K66" s="28">
        <f t="shared" ref="K66:K67" si="36">I66*J66</f>
        <v>18244200000</v>
      </c>
      <c r="L66" s="27">
        <v>7003</v>
      </c>
      <c r="M66" s="28">
        <v>150000</v>
      </c>
      <c r="N66" s="28">
        <f t="shared" ref="N66:N67" si="37">L66*M66</f>
        <v>1050450000</v>
      </c>
      <c r="O66" s="29">
        <f t="shared" si="35"/>
        <v>5.7577202617818263E-2</v>
      </c>
    </row>
    <row r="67" spans="2:15" ht="15.75">
      <c r="B67" s="22"/>
      <c r="C67" s="23"/>
      <c r="D67" s="24" t="s">
        <v>12</v>
      </c>
      <c r="E67" s="25" t="s">
        <v>40</v>
      </c>
      <c r="F67" s="24"/>
      <c r="G67" s="24"/>
      <c r="H67" s="26"/>
      <c r="I67" s="27">
        <v>128372</v>
      </c>
      <c r="J67" s="28">
        <v>250000</v>
      </c>
      <c r="K67" s="28">
        <f t="shared" si="36"/>
        <v>32093000000</v>
      </c>
      <c r="L67" s="27">
        <v>6879</v>
      </c>
      <c r="M67" s="28">
        <v>250000</v>
      </c>
      <c r="N67" s="28">
        <f t="shared" si="37"/>
        <v>1719750000</v>
      </c>
      <c r="O67" s="29">
        <f t="shared" si="35"/>
        <v>5.3586451874240486E-2</v>
      </c>
    </row>
    <row r="68" spans="2:15" ht="15.75">
      <c r="B68" s="22"/>
      <c r="C68" s="23"/>
      <c r="D68" s="24"/>
      <c r="E68" s="25"/>
      <c r="F68" s="24"/>
      <c r="G68" s="24"/>
      <c r="H68" s="26"/>
      <c r="I68" s="46"/>
      <c r="J68" s="49"/>
      <c r="K68" s="41"/>
      <c r="L68" s="46"/>
      <c r="M68" s="49"/>
      <c r="N68" s="41"/>
      <c r="O68" s="29"/>
    </row>
    <row r="69" spans="2:15" ht="15.75">
      <c r="B69" s="31"/>
      <c r="C69" s="32">
        <v>10</v>
      </c>
      <c r="D69" s="33" t="s">
        <v>47</v>
      </c>
      <c r="E69" s="34"/>
      <c r="F69" s="34"/>
      <c r="G69" s="34"/>
      <c r="H69" s="35"/>
      <c r="I69" s="36">
        <v>0</v>
      </c>
      <c r="J69" s="37"/>
      <c r="K69" s="38">
        <f t="shared" ref="K69:L69" si="38">+K70+K73</f>
        <v>0</v>
      </c>
      <c r="L69" s="36">
        <f t="shared" si="38"/>
        <v>0</v>
      </c>
      <c r="M69" s="37"/>
      <c r="N69" s="38">
        <f>+N70+N73</f>
        <v>0</v>
      </c>
      <c r="O69" s="39" t="e">
        <f t="shared" ref="O69:O75" si="39">N69/K69</f>
        <v>#DIV/0!</v>
      </c>
    </row>
    <row r="70" spans="2:15" ht="15.75">
      <c r="B70" s="22"/>
      <c r="C70" s="23"/>
      <c r="D70" s="47" t="s">
        <v>10</v>
      </c>
      <c r="E70" s="45" t="s">
        <v>46</v>
      </c>
      <c r="F70" s="24"/>
      <c r="G70" s="24"/>
      <c r="H70" s="26"/>
      <c r="I70" s="48">
        <v>0</v>
      </c>
      <c r="J70" s="49"/>
      <c r="K70" s="50">
        <f t="shared" ref="K70:L70" si="40">SUM(K71:K72)</f>
        <v>0</v>
      </c>
      <c r="L70" s="48">
        <f t="shared" si="40"/>
        <v>0</v>
      </c>
      <c r="M70" s="49"/>
      <c r="N70" s="50">
        <f>SUM(N71:N72)</f>
        <v>0</v>
      </c>
      <c r="O70" s="29" t="e">
        <f t="shared" si="39"/>
        <v>#DIV/0!</v>
      </c>
    </row>
    <row r="71" spans="2:15" ht="15.75">
      <c r="B71" s="22"/>
      <c r="C71" s="23"/>
      <c r="D71" s="24"/>
      <c r="E71" s="24" t="s">
        <v>33</v>
      </c>
      <c r="F71" s="25" t="s">
        <v>34</v>
      </c>
      <c r="G71" s="24"/>
      <c r="H71" s="26"/>
      <c r="I71" s="27">
        <v>0</v>
      </c>
      <c r="J71" s="28">
        <v>100000</v>
      </c>
      <c r="K71" s="28">
        <f t="shared" ref="K71:K72" si="41">I71*J71</f>
        <v>0</v>
      </c>
      <c r="L71" s="27">
        <f>'[1]L. MAT 09 STNKLBN'!G16</f>
        <v>0</v>
      </c>
      <c r="M71" s="28">
        <v>100000</v>
      </c>
      <c r="N71" s="28">
        <f t="shared" ref="N71:N72" si="42">L71*M71</f>
        <v>0</v>
      </c>
      <c r="O71" s="29" t="e">
        <f t="shared" si="39"/>
        <v>#DIV/0!</v>
      </c>
    </row>
    <row r="72" spans="2:15" ht="15.75">
      <c r="B72" s="22"/>
      <c r="C72" s="23"/>
      <c r="D72" s="24"/>
      <c r="E72" s="24" t="s">
        <v>35</v>
      </c>
      <c r="F72" s="25" t="s">
        <v>36</v>
      </c>
      <c r="G72" s="24"/>
      <c r="H72" s="26"/>
      <c r="I72" s="27">
        <v>0</v>
      </c>
      <c r="J72" s="28">
        <v>100000</v>
      </c>
      <c r="K72" s="28">
        <f t="shared" si="41"/>
        <v>0</v>
      </c>
      <c r="L72" s="27">
        <f>'[1]L. MAT 09 STNKLBN'!I16</f>
        <v>0</v>
      </c>
      <c r="M72" s="28">
        <v>100000</v>
      </c>
      <c r="N72" s="28">
        <f t="shared" si="42"/>
        <v>0</v>
      </c>
      <c r="O72" s="29" t="e">
        <f t="shared" si="39"/>
        <v>#DIV/0!</v>
      </c>
    </row>
    <row r="73" spans="2:15" ht="15.75">
      <c r="B73" s="22"/>
      <c r="C73" s="23"/>
      <c r="D73" s="47" t="s">
        <v>12</v>
      </c>
      <c r="E73" s="45" t="s">
        <v>40</v>
      </c>
      <c r="F73" s="24"/>
      <c r="G73" s="24"/>
      <c r="H73" s="26"/>
      <c r="I73" s="48">
        <v>0</v>
      </c>
      <c r="J73" s="49"/>
      <c r="K73" s="50">
        <f t="shared" ref="K73:L73" si="43">SUM(K74:K75)</f>
        <v>0</v>
      </c>
      <c r="L73" s="48">
        <f t="shared" si="43"/>
        <v>0</v>
      </c>
      <c r="M73" s="49"/>
      <c r="N73" s="50">
        <f>SUM(N74:N75)</f>
        <v>0</v>
      </c>
      <c r="O73" s="29" t="e">
        <f t="shared" si="39"/>
        <v>#DIV/0!</v>
      </c>
    </row>
    <row r="74" spans="2:15" ht="15.75">
      <c r="B74" s="22"/>
      <c r="C74" s="23"/>
      <c r="D74" s="24"/>
      <c r="E74" s="24" t="s">
        <v>33</v>
      </c>
      <c r="F74" s="25" t="s">
        <v>34</v>
      </c>
      <c r="G74" s="24"/>
      <c r="H74" s="26"/>
      <c r="I74" s="27">
        <v>0</v>
      </c>
      <c r="J74" s="28">
        <v>200000</v>
      </c>
      <c r="K74" s="28">
        <f t="shared" ref="K74:K75" si="44">I74*J74</f>
        <v>0</v>
      </c>
      <c r="L74" s="27">
        <f>'[1]L. MAT 09 STNKLBN'!H16</f>
        <v>0</v>
      </c>
      <c r="M74" s="28">
        <v>200000</v>
      </c>
      <c r="N74" s="28">
        <f t="shared" ref="N74:N75" si="45">L74*M74</f>
        <v>0</v>
      </c>
      <c r="O74" s="29" t="e">
        <f t="shared" si="39"/>
        <v>#DIV/0!</v>
      </c>
    </row>
    <row r="75" spans="2:15" ht="15.75">
      <c r="B75" s="22"/>
      <c r="C75" s="23"/>
      <c r="D75" s="24"/>
      <c r="E75" s="24" t="s">
        <v>35</v>
      </c>
      <c r="F75" s="25" t="s">
        <v>36</v>
      </c>
      <c r="G75" s="24"/>
      <c r="H75" s="26"/>
      <c r="I75" s="27">
        <v>0</v>
      </c>
      <c r="J75" s="28">
        <v>200000</v>
      </c>
      <c r="K75" s="28">
        <f t="shared" si="44"/>
        <v>0</v>
      </c>
      <c r="L75" s="27">
        <f>'[1]L. MAT 09 STNKLBN'!J16</f>
        <v>0</v>
      </c>
      <c r="M75" s="28">
        <v>200000</v>
      </c>
      <c r="N75" s="28">
        <f t="shared" si="45"/>
        <v>0</v>
      </c>
      <c r="O75" s="29" t="e">
        <f t="shared" si="39"/>
        <v>#DIV/0!</v>
      </c>
    </row>
    <row r="76" spans="2:15" ht="15.75">
      <c r="B76" s="51"/>
      <c r="C76" s="52"/>
      <c r="D76" s="53"/>
      <c r="E76" s="53"/>
      <c r="F76" s="54"/>
      <c r="G76" s="53"/>
      <c r="H76" s="55"/>
      <c r="I76" s="56"/>
      <c r="J76" s="68"/>
      <c r="K76" s="68"/>
      <c r="L76" s="56"/>
      <c r="M76" s="68"/>
      <c r="N76" s="68"/>
      <c r="O76" s="59"/>
    </row>
    <row r="77" spans="2:15" ht="15.75">
      <c r="B77" s="31"/>
      <c r="C77" s="32">
        <v>11</v>
      </c>
      <c r="D77" s="33" t="s">
        <v>48</v>
      </c>
      <c r="E77" s="42"/>
      <c r="F77" s="34"/>
      <c r="G77" s="34"/>
      <c r="H77" s="35"/>
      <c r="I77" s="36">
        <v>0</v>
      </c>
      <c r="J77" s="37"/>
      <c r="K77" s="38">
        <f t="shared" ref="K77:L77" si="46">K78+K81</f>
        <v>0</v>
      </c>
      <c r="L77" s="36">
        <f t="shared" si="46"/>
        <v>0</v>
      </c>
      <c r="M77" s="37"/>
      <c r="N77" s="38">
        <f>N78+N81</f>
        <v>0</v>
      </c>
      <c r="O77" s="39" t="e">
        <f t="shared" ref="O77:O83" si="47">N77/K77</f>
        <v>#DIV/0!</v>
      </c>
    </row>
    <row r="78" spans="2:15" ht="15.75">
      <c r="B78" s="22"/>
      <c r="C78" s="23"/>
      <c r="D78" s="47" t="s">
        <v>10</v>
      </c>
      <c r="E78" s="45" t="s">
        <v>46</v>
      </c>
      <c r="F78" s="24"/>
      <c r="G78" s="24"/>
      <c r="H78" s="26"/>
      <c r="I78" s="48">
        <v>0</v>
      </c>
      <c r="J78" s="49"/>
      <c r="K78" s="50">
        <f t="shared" ref="K78:L78" si="48">SUM(K79:K80)</f>
        <v>0</v>
      </c>
      <c r="L78" s="48">
        <f t="shared" si="48"/>
        <v>0</v>
      </c>
      <c r="M78" s="49"/>
      <c r="N78" s="50">
        <f>SUM(N79:N80)</f>
        <v>0</v>
      </c>
      <c r="O78" s="29" t="e">
        <f t="shared" si="47"/>
        <v>#DIV/0!</v>
      </c>
    </row>
    <row r="79" spans="2:15" ht="15.75">
      <c r="B79" s="22"/>
      <c r="C79" s="23"/>
      <c r="D79" s="24"/>
      <c r="E79" s="24" t="s">
        <v>33</v>
      </c>
      <c r="F79" s="25" t="s">
        <v>34</v>
      </c>
      <c r="G79" s="24"/>
      <c r="H79" s="26"/>
      <c r="I79" s="27">
        <v>0</v>
      </c>
      <c r="J79" s="28">
        <v>100000</v>
      </c>
      <c r="K79" s="28">
        <f t="shared" ref="K79:K80" si="49">I79*J79</f>
        <v>0</v>
      </c>
      <c r="L79" s="27">
        <f>'[1]L. MAT 10 TNKB LBN'!G16</f>
        <v>0</v>
      </c>
      <c r="M79" s="28">
        <v>100000</v>
      </c>
      <c r="N79" s="28">
        <f t="shared" ref="N79:N80" si="50">L79*M79</f>
        <v>0</v>
      </c>
      <c r="O79" s="29" t="e">
        <f t="shared" si="47"/>
        <v>#DIV/0!</v>
      </c>
    </row>
    <row r="80" spans="2:15" ht="15.75">
      <c r="B80" s="22"/>
      <c r="C80" s="23"/>
      <c r="D80" s="24"/>
      <c r="E80" s="24" t="s">
        <v>35</v>
      </c>
      <c r="F80" s="25" t="s">
        <v>36</v>
      </c>
      <c r="G80" s="24"/>
      <c r="H80" s="26"/>
      <c r="I80" s="27"/>
      <c r="J80" s="28">
        <v>100000</v>
      </c>
      <c r="K80" s="28">
        <f t="shared" si="49"/>
        <v>0</v>
      </c>
      <c r="L80" s="27">
        <f>'[1]L. MAT 10 TNKB LBN'!I16</f>
        <v>0</v>
      </c>
      <c r="M80" s="28">
        <v>100000</v>
      </c>
      <c r="N80" s="28">
        <f t="shared" si="50"/>
        <v>0</v>
      </c>
      <c r="O80" s="29" t="e">
        <f t="shared" si="47"/>
        <v>#DIV/0!</v>
      </c>
    </row>
    <row r="81" spans="2:15" ht="15.75">
      <c r="B81" s="22"/>
      <c r="C81" s="23"/>
      <c r="D81" s="47" t="s">
        <v>12</v>
      </c>
      <c r="E81" s="45" t="s">
        <v>40</v>
      </c>
      <c r="F81" s="24"/>
      <c r="G81" s="24"/>
      <c r="H81" s="26"/>
      <c r="I81" s="48">
        <v>0</v>
      </c>
      <c r="J81" s="49"/>
      <c r="K81" s="50">
        <f t="shared" ref="K81:L81" si="51">SUM(K82:K83)</f>
        <v>0</v>
      </c>
      <c r="L81" s="48">
        <f t="shared" si="51"/>
        <v>0</v>
      </c>
      <c r="M81" s="49"/>
      <c r="N81" s="50">
        <f>SUM(N82:N83)</f>
        <v>0</v>
      </c>
      <c r="O81" s="29" t="e">
        <f t="shared" si="47"/>
        <v>#DIV/0!</v>
      </c>
    </row>
    <row r="82" spans="2:15" ht="15.75">
      <c r="B82" s="22"/>
      <c r="C82" s="23"/>
      <c r="D82" s="24"/>
      <c r="E82" s="24" t="s">
        <v>33</v>
      </c>
      <c r="F82" s="25" t="s">
        <v>34</v>
      </c>
      <c r="G82" s="24"/>
      <c r="H82" s="26"/>
      <c r="I82" s="27">
        <v>0</v>
      </c>
      <c r="J82" s="28">
        <v>200000</v>
      </c>
      <c r="K82" s="28">
        <f t="shared" ref="K82:K83" si="52">I82*J82</f>
        <v>0</v>
      </c>
      <c r="L82" s="27">
        <f>'[1]L. MAT 10 TNKB LBN'!H16</f>
        <v>0</v>
      </c>
      <c r="M82" s="28">
        <v>200000</v>
      </c>
      <c r="N82" s="28">
        <f t="shared" ref="N82:N83" si="53">L82*M82</f>
        <v>0</v>
      </c>
      <c r="O82" s="29" t="e">
        <f t="shared" si="47"/>
        <v>#DIV/0!</v>
      </c>
    </row>
    <row r="83" spans="2:15" ht="15.75">
      <c r="B83" s="22"/>
      <c r="C83" s="23"/>
      <c r="D83" s="24"/>
      <c r="E83" s="24" t="s">
        <v>35</v>
      </c>
      <c r="F83" s="25" t="s">
        <v>36</v>
      </c>
      <c r="G83" s="24"/>
      <c r="H83" s="26"/>
      <c r="I83" s="27">
        <v>0</v>
      </c>
      <c r="J83" s="28">
        <v>200000</v>
      </c>
      <c r="K83" s="28">
        <f t="shared" si="52"/>
        <v>0</v>
      </c>
      <c r="L83" s="27">
        <f>'[1]L. MAT 10 TNKB LBN'!J16</f>
        <v>0</v>
      </c>
      <c r="M83" s="28">
        <v>200000</v>
      </c>
      <c r="N83" s="28">
        <f t="shared" si="53"/>
        <v>0</v>
      </c>
      <c r="O83" s="29" t="e">
        <f t="shared" si="47"/>
        <v>#DIV/0!</v>
      </c>
    </row>
    <row r="84" spans="2:15" ht="15.75">
      <c r="B84" s="22"/>
      <c r="C84" s="23"/>
      <c r="D84" s="24"/>
      <c r="E84" s="25"/>
      <c r="F84" s="24"/>
      <c r="G84" s="24"/>
      <c r="H84" s="26"/>
      <c r="I84" s="27"/>
      <c r="J84" s="49"/>
      <c r="K84" s="41"/>
      <c r="L84" s="27"/>
      <c r="M84" s="49"/>
      <c r="N84" s="41"/>
      <c r="O84" s="29"/>
    </row>
    <row r="85" spans="2:15" ht="15.75">
      <c r="B85" s="31"/>
      <c r="C85" s="32">
        <v>12</v>
      </c>
      <c r="D85" s="33" t="s">
        <v>49</v>
      </c>
      <c r="E85" s="42"/>
      <c r="F85" s="42"/>
      <c r="G85" s="42"/>
      <c r="H85" s="35"/>
      <c r="I85" s="36">
        <v>12000</v>
      </c>
      <c r="J85" s="37"/>
      <c r="K85" s="38">
        <f t="shared" ref="K85:L85" si="54">+K86+K89+K92+K95</f>
        <v>99500000000</v>
      </c>
      <c r="L85" s="36">
        <f t="shared" si="54"/>
        <v>597</v>
      </c>
      <c r="M85" s="37"/>
      <c r="N85" s="38">
        <f>+N86+N89+N92+N95</f>
        <v>5340000000</v>
      </c>
      <c r="O85" s="39">
        <f t="shared" ref="O85:O97" si="55">N85/K85</f>
        <v>5.3668341708542712E-2</v>
      </c>
    </row>
    <row r="86" spans="2:15" ht="15.75">
      <c r="B86" s="22"/>
      <c r="C86" s="23"/>
      <c r="D86" s="47" t="s">
        <v>10</v>
      </c>
      <c r="E86" s="45" t="s">
        <v>50</v>
      </c>
      <c r="F86" s="24"/>
      <c r="G86" s="24"/>
      <c r="H86" s="26"/>
      <c r="I86" s="48">
        <v>1053</v>
      </c>
      <c r="J86" s="49"/>
      <c r="K86" s="50">
        <f t="shared" ref="K86:L86" si="56">SUM(K87:K88)</f>
        <v>16585000000</v>
      </c>
      <c r="L86" s="48">
        <f t="shared" si="56"/>
        <v>66</v>
      </c>
      <c r="M86" s="49"/>
      <c r="N86" s="50">
        <f>SUM(N87:N88)</f>
        <v>1000000000</v>
      </c>
      <c r="O86" s="29">
        <f t="shared" si="55"/>
        <v>6.0295447693699128E-2</v>
      </c>
    </row>
    <row r="87" spans="2:15" ht="15.75">
      <c r="B87" s="22"/>
      <c r="C87" s="23"/>
      <c r="D87" s="24"/>
      <c r="E87" s="24" t="s">
        <v>33</v>
      </c>
      <c r="F87" s="25" t="s">
        <v>51</v>
      </c>
      <c r="G87" s="24"/>
      <c r="H87" s="26"/>
      <c r="I87" s="27">
        <v>158</v>
      </c>
      <c r="J87" s="28">
        <v>20000000</v>
      </c>
      <c r="K87" s="28">
        <f t="shared" ref="K87:K88" si="57">I87*J87</f>
        <v>3160000000</v>
      </c>
      <c r="L87" s="27">
        <v>2</v>
      </c>
      <c r="M87" s="28">
        <v>20000000</v>
      </c>
      <c r="N87" s="28">
        <f t="shared" ref="N87:N88" si="58">L87*M87</f>
        <v>40000000</v>
      </c>
      <c r="O87" s="29">
        <f t="shared" si="55"/>
        <v>1.2658227848101266E-2</v>
      </c>
    </row>
    <row r="88" spans="2:15" ht="15.75">
      <c r="B88" s="22"/>
      <c r="C88" s="23"/>
      <c r="D88" s="24"/>
      <c r="E88" s="24" t="s">
        <v>35</v>
      </c>
      <c r="F88" s="25" t="s">
        <v>52</v>
      </c>
      <c r="G88" s="24"/>
      <c r="H88" s="26"/>
      <c r="I88" s="27">
        <v>895</v>
      </c>
      <c r="J88" s="28">
        <v>15000000</v>
      </c>
      <c r="K88" s="28">
        <f t="shared" si="57"/>
        <v>13425000000</v>
      </c>
      <c r="L88" s="27">
        <v>64</v>
      </c>
      <c r="M88" s="28">
        <v>15000000</v>
      </c>
      <c r="N88" s="28">
        <f t="shared" si="58"/>
        <v>960000000</v>
      </c>
      <c r="O88" s="29">
        <f t="shared" si="55"/>
        <v>7.150837988826815E-2</v>
      </c>
    </row>
    <row r="89" spans="2:15" ht="15.75">
      <c r="B89" s="22"/>
      <c r="C89" s="23"/>
      <c r="D89" s="47" t="s">
        <v>12</v>
      </c>
      <c r="E89" s="45" t="s">
        <v>53</v>
      </c>
      <c r="F89" s="24"/>
      <c r="G89" s="24"/>
      <c r="H89" s="26"/>
      <c r="I89" s="48">
        <v>2383</v>
      </c>
      <c r="J89" s="49"/>
      <c r="K89" s="50">
        <f t="shared" ref="K89:L89" si="59">SUM(K90:K91)</f>
        <v>25435000000</v>
      </c>
      <c r="L89" s="48">
        <f t="shared" si="59"/>
        <v>167</v>
      </c>
      <c r="M89" s="49"/>
      <c r="N89" s="50">
        <f>SUM(N90:N91)</f>
        <v>1700000000</v>
      </c>
      <c r="O89" s="29">
        <f t="shared" si="55"/>
        <v>6.6837035580892476E-2</v>
      </c>
    </row>
    <row r="90" spans="2:15" ht="15.75">
      <c r="B90" s="22"/>
      <c r="C90" s="23"/>
      <c r="D90" s="24"/>
      <c r="E90" s="24" t="s">
        <v>33</v>
      </c>
      <c r="F90" s="25" t="s">
        <v>51</v>
      </c>
      <c r="G90" s="24"/>
      <c r="H90" s="26"/>
      <c r="I90" s="27">
        <v>321</v>
      </c>
      <c r="J90" s="28">
        <v>15000000</v>
      </c>
      <c r="K90" s="28">
        <f t="shared" ref="K90:K91" si="60">I90*J90</f>
        <v>4815000000</v>
      </c>
      <c r="L90" s="27">
        <v>6</v>
      </c>
      <c r="M90" s="28">
        <v>15000000</v>
      </c>
      <c r="N90" s="28">
        <f t="shared" ref="N90:N91" si="61">L90*M90</f>
        <v>90000000</v>
      </c>
      <c r="O90" s="29">
        <f t="shared" si="55"/>
        <v>1.8691588785046728E-2</v>
      </c>
    </row>
    <row r="91" spans="2:15" ht="15">
      <c r="B91" s="69"/>
      <c r="C91" s="70"/>
      <c r="D91" s="25"/>
      <c r="E91" s="24" t="s">
        <v>35</v>
      </c>
      <c r="F91" s="25" t="s">
        <v>52</v>
      </c>
      <c r="G91" s="25"/>
      <c r="H91" s="71"/>
      <c r="I91" s="27">
        <v>2062</v>
      </c>
      <c r="J91" s="28">
        <v>10000000</v>
      </c>
      <c r="K91" s="28">
        <f t="shared" si="60"/>
        <v>20620000000</v>
      </c>
      <c r="L91" s="27">
        <v>161</v>
      </c>
      <c r="M91" s="28">
        <v>10000000</v>
      </c>
      <c r="N91" s="28">
        <f t="shared" si="61"/>
        <v>1610000000</v>
      </c>
      <c r="O91" s="29">
        <f t="shared" si="55"/>
        <v>7.807953443258972E-2</v>
      </c>
    </row>
    <row r="92" spans="2:15" ht="15.75">
      <c r="B92" s="69"/>
      <c r="C92" s="70"/>
      <c r="D92" s="47" t="s">
        <v>14</v>
      </c>
      <c r="E92" s="45" t="s">
        <v>54</v>
      </c>
      <c r="F92" s="25"/>
      <c r="G92" s="25"/>
      <c r="H92" s="71"/>
      <c r="I92" s="48">
        <v>4609</v>
      </c>
      <c r="J92" s="28"/>
      <c r="K92" s="50">
        <f t="shared" ref="K92:L92" si="62">SUM(K93:K94)</f>
        <v>35915000000</v>
      </c>
      <c r="L92" s="48">
        <f t="shared" si="62"/>
        <v>296</v>
      </c>
      <c r="M92" s="28"/>
      <c r="N92" s="50">
        <f>SUM(N93:N94)</f>
        <v>2252500000</v>
      </c>
      <c r="O92" s="29">
        <f t="shared" si="55"/>
        <v>6.2717527495475434E-2</v>
      </c>
    </row>
    <row r="93" spans="2:15" ht="15">
      <c r="B93" s="69"/>
      <c r="C93" s="70"/>
      <c r="D93" s="24"/>
      <c r="E93" s="24" t="s">
        <v>33</v>
      </c>
      <c r="F93" s="25" t="s">
        <v>51</v>
      </c>
      <c r="G93" s="25"/>
      <c r="H93" s="71"/>
      <c r="I93" s="27">
        <v>539</v>
      </c>
      <c r="J93" s="28">
        <v>10000000</v>
      </c>
      <c r="K93" s="28">
        <f t="shared" ref="K93:K94" si="63">I93*J93</f>
        <v>5390000000</v>
      </c>
      <c r="L93" s="27">
        <v>13</v>
      </c>
      <c r="M93" s="28">
        <v>10000000</v>
      </c>
      <c r="N93" s="28">
        <f t="shared" ref="N93:N94" si="64">L93*M93</f>
        <v>130000000</v>
      </c>
      <c r="O93" s="29">
        <f t="shared" si="55"/>
        <v>2.4118738404452691E-2</v>
      </c>
    </row>
    <row r="94" spans="2:15" ht="15">
      <c r="B94" s="69"/>
      <c r="C94" s="70"/>
      <c r="D94" s="24"/>
      <c r="E94" s="24" t="s">
        <v>35</v>
      </c>
      <c r="F94" s="25" t="s">
        <v>52</v>
      </c>
      <c r="G94" s="25"/>
      <c r="H94" s="71"/>
      <c r="I94" s="27">
        <v>4070</v>
      </c>
      <c r="J94" s="28">
        <v>7500000</v>
      </c>
      <c r="K94" s="28">
        <f t="shared" si="63"/>
        <v>30525000000</v>
      </c>
      <c r="L94" s="27">
        <v>283</v>
      </c>
      <c r="M94" s="28">
        <v>7500000</v>
      </c>
      <c r="N94" s="28">
        <f t="shared" si="64"/>
        <v>2122500000</v>
      </c>
      <c r="O94" s="29">
        <f t="shared" si="55"/>
        <v>6.9533169533169528E-2</v>
      </c>
    </row>
    <row r="95" spans="2:15" ht="15.75">
      <c r="B95" s="69"/>
      <c r="C95" s="70"/>
      <c r="D95" s="47" t="s">
        <v>16</v>
      </c>
      <c r="E95" s="45" t="s">
        <v>55</v>
      </c>
      <c r="F95" s="25"/>
      <c r="G95" s="25"/>
      <c r="H95" s="71"/>
      <c r="I95" s="48">
        <v>3955</v>
      </c>
      <c r="J95" s="28"/>
      <c r="K95" s="50">
        <f t="shared" ref="K95:L95" si="65">SUM(K96:K97)</f>
        <v>21565000000</v>
      </c>
      <c r="L95" s="48">
        <f t="shared" si="65"/>
        <v>68</v>
      </c>
      <c r="M95" s="28"/>
      <c r="N95" s="50">
        <f>SUM(N96:N97)</f>
        <v>387500000</v>
      </c>
      <c r="O95" s="29">
        <f t="shared" si="55"/>
        <v>1.7968931138418735E-2</v>
      </c>
    </row>
    <row r="96" spans="2:15" ht="15">
      <c r="B96" s="69"/>
      <c r="C96" s="70"/>
      <c r="D96" s="25"/>
      <c r="E96" s="24" t="s">
        <v>33</v>
      </c>
      <c r="F96" s="25" t="s">
        <v>51</v>
      </c>
      <c r="G96" s="25"/>
      <c r="H96" s="71"/>
      <c r="I96" s="27">
        <v>716</v>
      </c>
      <c r="J96" s="28">
        <v>7500000</v>
      </c>
      <c r="K96" s="28">
        <f t="shared" ref="K96:K97" si="66">I96*J96</f>
        <v>5370000000</v>
      </c>
      <c r="L96" s="27">
        <v>19</v>
      </c>
      <c r="M96" s="28">
        <v>7500000</v>
      </c>
      <c r="N96" s="28">
        <f t="shared" ref="N96:N97" si="67">L96*M96</f>
        <v>142500000</v>
      </c>
      <c r="O96" s="29">
        <f t="shared" si="55"/>
        <v>2.6536312849162011E-2</v>
      </c>
    </row>
    <row r="97" spans="2:15" ht="15">
      <c r="B97" s="69"/>
      <c r="C97" s="70"/>
      <c r="D97" s="25"/>
      <c r="E97" s="24" t="s">
        <v>35</v>
      </c>
      <c r="F97" s="25" t="s">
        <v>52</v>
      </c>
      <c r="G97" s="25"/>
      <c r="H97" s="71"/>
      <c r="I97" s="27">
        <v>3239</v>
      </c>
      <c r="J97" s="28">
        <v>5000000</v>
      </c>
      <c r="K97" s="28">
        <f t="shared" si="66"/>
        <v>16195000000</v>
      </c>
      <c r="L97" s="27">
        <v>49</v>
      </c>
      <c r="M97" s="28">
        <v>5000000</v>
      </c>
      <c r="N97" s="28">
        <f t="shared" si="67"/>
        <v>245000000</v>
      </c>
      <c r="O97" s="29">
        <f t="shared" si="55"/>
        <v>1.5128125964803951E-2</v>
      </c>
    </row>
    <row r="98" spans="2:15" ht="15">
      <c r="B98" s="72"/>
      <c r="C98" s="73"/>
      <c r="D98" s="74"/>
      <c r="E98" s="74"/>
      <c r="F98" s="74"/>
      <c r="G98" s="74"/>
      <c r="H98" s="75"/>
      <c r="I98" s="76"/>
      <c r="J98" s="77"/>
      <c r="K98" s="78"/>
      <c r="L98" s="76"/>
      <c r="M98" s="77"/>
      <c r="N98" s="78"/>
      <c r="O98" s="79"/>
    </row>
    <row r="99" spans="2:15" ht="15.75">
      <c r="B99" s="80"/>
      <c r="C99" s="105" t="s">
        <v>56</v>
      </c>
      <c r="D99" s="103"/>
      <c r="E99" s="103"/>
      <c r="F99" s="103"/>
      <c r="G99" s="103"/>
      <c r="H99" s="104"/>
      <c r="I99" s="81">
        <f>SUM(I13,I24,I35,I37,I45,I49,I53,I57,I65,I69,I77,I85)</f>
        <v>19337001</v>
      </c>
      <c r="J99" s="81"/>
      <c r="K99" s="81">
        <f>SUM(K13,K24,K35,K37,K45,K49,K53,K57,K65,K69,K77,K85)</f>
        <v>2210588370000</v>
      </c>
      <c r="L99" s="81">
        <f>SUM(L13,L24,L35,L37,L45,L49,L53,L57,L65,L69,L77,L85)</f>
        <v>853651</v>
      </c>
      <c r="M99" s="81"/>
      <c r="N99" s="81">
        <f>SUM(N13,N24,N35,N37,N45,N49,N53,N57,N65,N69,N77,N85)</f>
        <v>96005535000</v>
      </c>
      <c r="O99" s="82">
        <f>N99/K99</f>
        <v>4.3429856188015682E-2</v>
      </c>
    </row>
    <row r="100" spans="2:15" ht="15.75">
      <c r="B100" s="83"/>
      <c r="C100" s="84"/>
      <c r="D100" s="84"/>
      <c r="E100" s="84"/>
      <c r="F100" s="84"/>
      <c r="G100" s="84"/>
      <c r="H100" s="84"/>
      <c r="I100" s="85"/>
      <c r="J100" s="84"/>
      <c r="K100" s="84"/>
      <c r="L100" s="85"/>
      <c r="M100" s="84"/>
      <c r="N100" s="86"/>
      <c r="O100" s="87"/>
    </row>
    <row r="101" spans="2:15" ht="15.75">
      <c r="B101" s="83"/>
      <c r="C101" s="88"/>
      <c r="D101" s="84"/>
      <c r="E101" s="84"/>
      <c r="F101" s="84"/>
      <c r="G101" s="84"/>
      <c r="H101" s="84"/>
      <c r="I101" s="84"/>
      <c r="J101" s="84"/>
      <c r="K101" s="84"/>
      <c r="L101" s="84"/>
      <c r="M101" s="106"/>
      <c r="N101" s="100"/>
      <c r="O101" s="100"/>
    </row>
    <row r="102" spans="2:15" ht="15.75">
      <c r="B102" s="101"/>
      <c r="C102" s="100"/>
      <c r="D102" s="100"/>
      <c r="E102" s="100"/>
      <c r="F102" s="100"/>
      <c r="G102" s="84"/>
      <c r="H102" s="84"/>
      <c r="I102" s="84"/>
      <c r="J102" s="84"/>
      <c r="K102" s="84"/>
      <c r="L102" s="84"/>
      <c r="M102" s="101"/>
      <c r="N102" s="100"/>
      <c r="O102" s="100"/>
    </row>
    <row r="103" spans="2:15" ht="15.75">
      <c r="B103" s="89"/>
      <c r="C103" s="89"/>
      <c r="D103" s="89"/>
      <c r="E103" s="84"/>
      <c r="F103" s="84"/>
      <c r="G103" s="84"/>
      <c r="H103" s="84"/>
      <c r="I103" s="86"/>
      <c r="J103" s="86"/>
      <c r="K103" s="86"/>
      <c r="L103" s="86"/>
      <c r="M103" s="89"/>
      <c r="N103" s="89"/>
      <c r="O103" s="89"/>
    </row>
    <row r="104" spans="2:15" ht="15.75">
      <c r="B104" s="101"/>
      <c r="C104" s="100"/>
      <c r="D104" s="100"/>
      <c r="E104" s="100"/>
      <c r="F104" s="100"/>
      <c r="G104" s="84"/>
      <c r="H104" s="84"/>
      <c r="I104" s="84"/>
      <c r="J104" s="84"/>
      <c r="K104" s="84"/>
      <c r="L104" s="84"/>
      <c r="M104" s="101"/>
      <c r="N104" s="100"/>
      <c r="O104" s="100"/>
    </row>
    <row r="105" spans="2:15" ht="15.75">
      <c r="B105" s="89"/>
      <c r="C105" s="89"/>
      <c r="D105" s="89"/>
      <c r="E105" s="84"/>
      <c r="F105" s="84"/>
      <c r="G105" s="84"/>
      <c r="H105" s="84"/>
      <c r="I105" s="84"/>
      <c r="J105" s="84"/>
      <c r="K105" s="84"/>
      <c r="L105" s="84"/>
      <c r="M105" s="89"/>
      <c r="N105" s="89"/>
      <c r="O105" s="89"/>
    </row>
    <row r="106" spans="2:15" ht="15.75">
      <c r="B106" s="99"/>
      <c r="C106" s="100"/>
      <c r="D106" s="100"/>
      <c r="E106" s="100"/>
      <c r="F106" s="100"/>
      <c r="G106" s="84"/>
      <c r="H106" s="84"/>
      <c r="I106" s="84"/>
      <c r="J106" s="84"/>
      <c r="K106" s="84"/>
      <c r="L106" s="84"/>
      <c r="M106" s="99"/>
      <c r="N106" s="100"/>
      <c r="O106" s="100"/>
    </row>
    <row r="107" spans="2:15" ht="15.75">
      <c r="B107" s="101"/>
      <c r="C107" s="100"/>
      <c r="D107" s="100"/>
      <c r="E107" s="100"/>
      <c r="F107" s="100"/>
      <c r="G107" s="84"/>
      <c r="H107" s="84"/>
      <c r="I107" s="84"/>
      <c r="J107" s="84"/>
      <c r="K107" s="84"/>
      <c r="L107" s="84"/>
      <c r="M107" s="101"/>
      <c r="N107" s="100"/>
      <c r="O107" s="100"/>
    </row>
  </sheetData>
  <mergeCells count="20">
    <mergeCell ref="B2:G5"/>
    <mergeCell ref="B6:O6"/>
    <mergeCell ref="B7:O7"/>
    <mergeCell ref="B9:H9"/>
    <mergeCell ref="B10:B11"/>
    <mergeCell ref="C10:H11"/>
    <mergeCell ref="I10:K10"/>
    <mergeCell ref="L10:N10"/>
    <mergeCell ref="O10:O11"/>
    <mergeCell ref="B106:F106"/>
    <mergeCell ref="M106:O106"/>
    <mergeCell ref="B107:F107"/>
    <mergeCell ref="M107:O107"/>
    <mergeCell ref="C12:H12"/>
    <mergeCell ref="C99:H99"/>
    <mergeCell ref="M101:O101"/>
    <mergeCell ref="B102:F102"/>
    <mergeCell ref="M102:O102"/>
    <mergeCell ref="B104:F104"/>
    <mergeCell ref="M104:O10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7"/>
  <sheetViews>
    <sheetView topLeftCell="I73" workbookViewId="0">
      <selection activeCell="N91" sqref="N91"/>
    </sheetView>
  </sheetViews>
  <sheetFormatPr defaultRowHeight="14.25"/>
  <cols>
    <col min="2" max="2" width="5.875" customWidth="1"/>
    <col min="3" max="10" width="16.125" customWidth="1"/>
    <col min="11" max="11" width="26.25" customWidth="1"/>
    <col min="12" max="13" width="16.125" customWidth="1"/>
    <col min="14" max="14" width="20.75" customWidth="1"/>
    <col min="15" max="15" width="16.125" customWidth="1"/>
  </cols>
  <sheetData>
    <row r="1" spans="2:15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2:15" ht="15">
      <c r="B2" s="107"/>
      <c r="C2" s="108"/>
      <c r="D2" s="108"/>
      <c r="E2" s="108"/>
      <c r="F2" s="108"/>
      <c r="G2" s="108"/>
      <c r="H2" s="3"/>
      <c r="I2" s="3"/>
      <c r="J2" s="3"/>
      <c r="K2" s="3"/>
      <c r="L2" s="3"/>
      <c r="M2" s="3"/>
      <c r="N2" s="3"/>
      <c r="O2" s="4"/>
    </row>
    <row r="3" spans="2:15" ht="15">
      <c r="B3" s="108"/>
      <c r="C3" s="100"/>
      <c r="D3" s="100"/>
      <c r="E3" s="100"/>
      <c r="F3" s="100"/>
      <c r="G3" s="108"/>
      <c r="H3" s="3"/>
      <c r="I3" s="3"/>
      <c r="J3" s="3"/>
      <c r="K3" s="3"/>
      <c r="L3" s="3"/>
      <c r="M3" s="3"/>
      <c r="N3" s="3"/>
      <c r="O3" s="4"/>
    </row>
    <row r="4" spans="2:15" ht="15.75">
      <c r="B4" s="108"/>
      <c r="C4" s="100"/>
      <c r="D4" s="100"/>
      <c r="E4" s="100"/>
      <c r="F4" s="100"/>
      <c r="G4" s="108"/>
      <c r="H4" s="5"/>
      <c r="I4" s="3"/>
      <c r="J4" s="6"/>
      <c r="K4" s="7"/>
      <c r="L4" s="3"/>
      <c r="M4" s="6"/>
      <c r="N4" s="7"/>
      <c r="O4" s="4"/>
    </row>
    <row r="5" spans="2:15" ht="15.75">
      <c r="B5" s="108"/>
      <c r="C5" s="108"/>
      <c r="D5" s="108"/>
      <c r="E5" s="108"/>
      <c r="F5" s="108"/>
      <c r="G5" s="108"/>
      <c r="H5" s="5"/>
      <c r="I5" s="5"/>
      <c r="J5" s="8"/>
      <c r="K5" s="6"/>
      <c r="L5" s="5"/>
      <c r="M5" s="8"/>
      <c r="N5" s="6"/>
      <c r="O5" s="4"/>
    </row>
    <row r="6" spans="2:15" ht="15.75">
      <c r="B6" s="109" t="s">
        <v>57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</row>
    <row r="7" spans="2:15" ht="15.75">
      <c r="B7" s="110" t="s">
        <v>65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</row>
    <row r="8" spans="2:15" ht="15.7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ht="15.75">
      <c r="B9" s="111"/>
      <c r="C9" s="108"/>
      <c r="D9" s="108"/>
      <c r="E9" s="108"/>
      <c r="F9" s="108"/>
      <c r="G9" s="108"/>
      <c r="H9" s="108"/>
      <c r="I9" s="11"/>
      <c r="J9" s="9"/>
      <c r="K9" s="11"/>
      <c r="L9" s="11"/>
      <c r="M9" s="9"/>
      <c r="N9" s="11"/>
      <c r="O9" s="4"/>
    </row>
    <row r="10" spans="2:15" ht="15.75">
      <c r="B10" s="112" t="s">
        <v>0</v>
      </c>
      <c r="C10" s="114" t="s">
        <v>1</v>
      </c>
      <c r="D10" s="115"/>
      <c r="E10" s="115"/>
      <c r="F10" s="115"/>
      <c r="G10" s="115"/>
      <c r="H10" s="116"/>
      <c r="I10" s="120" t="s">
        <v>2</v>
      </c>
      <c r="J10" s="103"/>
      <c r="K10" s="104"/>
      <c r="L10" s="120" t="s">
        <v>3</v>
      </c>
      <c r="M10" s="103"/>
      <c r="N10" s="104"/>
      <c r="O10" s="121" t="s">
        <v>4</v>
      </c>
    </row>
    <row r="11" spans="2:15" ht="15.75">
      <c r="B11" s="113"/>
      <c r="C11" s="117"/>
      <c r="D11" s="118"/>
      <c r="E11" s="118"/>
      <c r="F11" s="118"/>
      <c r="G11" s="118"/>
      <c r="H11" s="119"/>
      <c r="I11" s="12" t="s">
        <v>5</v>
      </c>
      <c r="J11" s="12" t="s">
        <v>6</v>
      </c>
      <c r="K11" s="12" t="s">
        <v>7</v>
      </c>
      <c r="L11" s="12" t="s">
        <v>5</v>
      </c>
      <c r="M11" s="12" t="s">
        <v>6</v>
      </c>
      <c r="N11" s="12" t="s">
        <v>8</v>
      </c>
      <c r="O11" s="122"/>
    </row>
    <row r="12" spans="2:15" ht="15.75">
      <c r="B12" s="12">
        <v>1</v>
      </c>
      <c r="C12" s="102">
        <v>2</v>
      </c>
      <c r="D12" s="103"/>
      <c r="E12" s="103"/>
      <c r="F12" s="103"/>
      <c r="G12" s="103"/>
      <c r="H12" s="104"/>
      <c r="I12" s="12">
        <v>3</v>
      </c>
      <c r="J12" s="12">
        <v>4</v>
      </c>
      <c r="K12" s="12">
        <v>5</v>
      </c>
      <c r="L12" s="12">
        <v>3</v>
      </c>
      <c r="M12" s="12">
        <v>4</v>
      </c>
      <c r="N12" s="12">
        <v>5</v>
      </c>
      <c r="O12" s="12">
        <v>6</v>
      </c>
    </row>
    <row r="13" spans="2:15" ht="15.75">
      <c r="B13" s="13"/>
      <c r="C13" s="14">
        <v>1</v>
      </c>
      <c r="D13" s="15" t="s">
        <v>9</v>
      </c>
      <c r="E13" s="16"/>
      <c r="F13" s="16"/>
      <c r="G13" s="16"/>
      <c r="H13" s="17"/>
      <c r="I13" s="18">
        <v>1002980</v>
      </c>
      <c r="J13" s="19"/>
      <c r="K13" s="20">
        <f t="shared" ref="K13:L13" si="0">SUM(K14:K22)</f>
        <v>106956030000</v>
      </c>
      <c r="L13" s="18">
        <f t="shared" si="0"/>
        <v>33908</v>
      </c>
      <c r="M13" s="19"/>
      <c r="N13" s="20">
        <f>SUM(N14:N22)</f>
        <v>3654190000</v>
      </c>
      <c r="O13" s="21">
        <f t="shared" ref="O13:O22" si="1">N13/K13</f>
        <v>3.4165348134181872E-2</v>
      </c>
    </row>
    <row r="14" spans="2:15" ht="15.75">
      <c r="B14" s="22"/>
      <c r="C14" s="23"/>
      <c r="D14" s="24" t="s">
        <v>10</v>
      </c>
      <c r="E14" s="25" t="s">
        <v>11</v>
      </c>
      <c r="F14" s="24"/>
      <c r="G14" s="24"/>
      <c r="H14" s="26"/>
      <c r="I14" s="27">
        <v>294130</v>
      </c>
      <c r="J14" s="28">
        <v>120000</v>
      </c>
      <c r="K14" s="28">
        <f t="shared" ref="K14:K22" si="2">I14*J14</f>
        <v>35295600000</v>
      </c>
      <c r="L14" s="27">
        <v>11358</v>
      </c>
      <c r="M14" s="28">
        <v>120000</v>
      </c>
      <c r="N14" s="28">
        <f t="shared" ref="N14:N22" si="3">L14*M14</f>
        <v>1362960000</v>
      </c>
      <c r="O14" s="29">
        <f t="shared" si="1"/>
        <v>3.861557814571788E-2</v>
      </c>
    </row>
    <row r="15" spans="2:15" ht="15.75">
      <c r="B15" s="22"/>
      <c r="C15" s="23"/>
      <c r="D15" s="24" t="s">
        <v>12</v>
      </c>
      <c r="E15" s="25" t="s">
        <v>13</v>
      </c>
      <c r="F15" s="24"/>
      <c r="G15" s="24"/>
      <c r="H15" s="26"/>
      <c r="I15" s="27">
        <v>30304</v>
      </c>
      <c r="J15" s="28">
        <v>120000</v>
      </c>
      <c r="K15" s="28">
        <f t="shared" si="2"/>
        <v>3636480000</v>
      </c>
      <c r="L15" s="27">
        <v>1318</v>
      </c>
      <c r="M15" s="28">
        <v>120000</v>
      </c>
      <c r="N15" s="28">
        <f t="shared" si="3"/>
        <v>158160000</v>
      </c>
      <c r="O15" s="29">
        <f t="shared" si="1"/>
        <v>4.3492608236536431E-2</v>
      </c>
    </row>
    <row r="16" spans="2:15" ht="15.75">
      <c r="B16" s="22"/>
      <c r="C16" s="23"/>
      <c r="D16" s="24" t="s">
        <v>14</v>
      </c>
      <c r="E16" s="25" t="s">
        <v>15</v>
      </c>
      <c r="F16" s="24"/>
      <c r="G16" s="24"/>
      <c r="H16" s="26"/>
      <c r="I16" s="27">
        <v>13370</v>
      </c>
      <c r="J16" s="28">
        <v>120000</v>
      </c>
      <c r="K16" s="28">
        <f t="shared" si="2"/>
        <v>1604400000</v>
      </c>
      <c r="L16" s="27">
        <v>511</v>
      </c>
      <c r="M16" s="28">
        <v>120000</v>
      </c>
      <c r="N16" s="28">
        <f t="shared" si="3"/>
        <v>61320000</v>
      </c>
      <c r="O16" s="29">
        <f t="shared" si="1"/>
        <v>3.8219895287958112E-2</v>
      </c>
    </row>
    <row r="17" spans="2:15" ht="15.75">
      <c r="B17" s="22"/>
      <c r="C17" s="23"/>
      <c r="D17" s="24" t="s">
        <v>16</v>
      </c>
      <c r="E17" s="25" t="s">
        <v>17</v>
      </c>
      <c r="F17" s="24"/>
      <c r="G17" s="24"/>
      <c r="H17" s="26"/>
      <c r="I17" s="27">
        <v>662649</v>
      </c>
      <c r="J17" s="28">
        <v>100000</v>
      </c>
      <c r="K17" s="28">
        <f t="shared" si="2"/>
        <v>66264900000</v>
      </c>
      <c r="L17" s="27">
        <v>20711</v>
      </c>
      <c r="M17" s="28">
        <v>100000</v>
      </c>
      <c r="N17" s="28">
        <f t="shared" si="3"/>
        <v>2071100000</v>
      </c>
      <c r="O17" s="29">
        <f t="shared" si="1"/>
        <v>3.1254857398109709E-2</v>
      </c>
    </row>
    <row r="18" spans="2:15" ht="15.75">
      <c r="B18" s="22"/>
      <c r="C18" s="23"/>
      <c r="D18" s="24" t="s">
        <v>18</v>
      </c>
      <c r="E18" s="25" t="s">
        <v>19</v>
      </c>
      <c r="F18" s="24"/>
      <c r="G18" s="24"/>
      <c r="H18" s="26"/>
      <c r="I18" s="27">
        <v>299</v>
      </c>
      <c r="J18" s="28">
        <v>100000</v>
      </c>
      <c r="K18" s="28">
        <f t="shared" si="2"/>
        <v>29900000</v>
      </c>
      <c r="L18" s="27">
        <v>3</v>
      </c>
      <c r="M18" s="28">
        <v>100000</v>
      </c>
      <c r="N18" s="28">
        <f t="shared" si="3"/>
        <v>300000</v>
      </c>
      <c r="O18" s="29">
        <f t="shared" si="1"/>
        <v>1.0033444816053512E-2</v>
      </c>
    </row>
    <row r="19" spans="2:15" ht="15.75">
      <c r="B19" s="22"/>
      <c r="C19" s="23"/>
      <c r="D19" s="24" t="s">
        <v>20</v>
      </c>
      <c r="E19" s="25" t="s">
        <v>21</v>
      </c>
      <c r="F19" s="24"/>
      <c r="G19" s="24"/>
      <c r="H19" s="26"/>
      <c r="I19" s="27">
        <v>267</v>
      </c>
      <c r="J19" s="28">
        <v>100000</v>
      </c>
      <c r="K19" s="28">
        <f t="shared" si="2"/>
        <v>26700000</v>
      </c>
      <c r="L19" s="27">
        <v>0</v>
      </c>
      <c r="M19" s="28">
        <v>100000</v>
      </c>
      <c r="N19" s="28">
        <f t="shared" si="3"/>
        <v>0</v>
      </c>
      <c r="O19" s="29">
        <f t="shared" si="1"/>
        <v>0</v>
      </c>
    </row>
    <row r="20" spans="2:15" ht="15.75">
      <c r="B20" s="22"/>
      <c r="C20" s="23"/>
      <c r="D20" s="24" t="s">
        <v>22</v>
      </c>
      <c r="E20" s="25" t="s">
        <v>23</v>
      </c>
      <c r="F20" s="24"/>
      <c r="G20" s="24"/>
      <c r="H20" s="26"/>
      <c r="I20" s="27">
        <v>1925</v>
      </c>
      <c r="J20" s="28">
        <v>50000</v>
      </c>
      <c r="K20" s="28">
        <f t="shared" si="2"/>
        <v>96250000</v>
      </c>
      <c r="L20" s="27">
        <v>6</v>
      </c>
      <c r="M20" s="28">
        <v>50000</v>
      </c>
      <c r="N20" s="28">
        <f t="shared" si="3"/>
        <v>300000</v>
      </c>
      <c r="O20" s="29">
        <f t="shared" si="1"/>
        <v>3.1168831168831169E-3</v>
      </c>
    </row>
    <row r="21" spans="2:15" ht="15.75">
      <c r="B21" s="22"/>
      <c r="C21" s="23"/>
      <c r="D21" s="24" t="s">
        <v>24</v>
      </c>
      <c r="E21" s="25" t="s">
        <v>25</v>
      </c>
      <c r="F21" s="24"/>
      <c r="G21" s="24"/>
      <c r="H21" s="26"/>
      <c r="I21" s="27">
        <v>36</v>
      </c>
      <c r="J21" s="28">
        <v>50000</v>
      </c>
      <c r="K21" s="28">
        <f t="shared" si="2"/>
        <v>1800000</v>
      </c>
      <c r="L21" s="27">
        <v>1</v>
      </c>
      <c r="M21" s="28">
        <v>50000</v>
      </c>
      <c r="N21" s="28">
        <f t="shared" si="3"/>
        <v>50000</v>
      </c>
      <c r="O21" s="29">
        <f t="shared" si="1"/>
        <v>2.7777777777777776E-2</v>
      </c>
    </row>
    <row r="22" spans="2:15" ht="15.75">
      <c r="B22" s="22"/>
      <c r="C22" s="23"/>
      <c r="D22" s="24" t="s">
        <v>26</v>
      </c>
      <c r="E22" s="25" t="s">
        <v>27</v>
      </c>
      <c r="F22" s="24"/>
      <c r="G22" s="24"/>
      <c r="H22" s="26"/>
      <c r="I22" s="27">
        <v>0</v>
      </c>
      <c r="J22" s="28">
        <v>250000</v>
      </c>
      <c r="K22" s="28">
        <f t="shared" si="2"/>
        <v>0</v>
      </c>
      <c r="L22" s="27">
        <v>0</v>
      </c>
      <c r="M22" s="28">
        <v>250000</v>
      </c>
      <c r="N22" s="28">
        <f t="shared" si="3"/>
        <v>0</v>
      </c>
      <c r="O22" s="29" t="e">
        <f t="shared" si="1"/>
        <v>#DIV/0!</v>
      </c>
    </row>
    <row r="23" spans="2:15" ht="15.75">
      <c r="B23" s="22"/>
      <c r="C23" s="23"/>
      <c r="D23" s="24"/>
      <c r="E23" s="25"/>
      <c r="F23" s="24"/>
      <c r="G23" s="24"/>
      <c r="H23" s="26"/>
      <c r="I23" s="30"/>
      <c r="J23" s="28"/>
      <c r="K23" s="28"/>
      <c r="L23" s="30"/>
      <c r="M23" s="28"/>
      <c r="N23" s="28"/>
      <c r="O23" s="29"/>
    </row>
    <row r="24" spans="2:15" ht="15.75">
      <c r="B24" s="31"/>
      <c r="C24" s="32">
        <v>2</v>
      </c>
      <c r="D24" s="33" t="s">
        <v>28</v>
      </c>
      <c r="E24" s="34"/>
      <c r="F24" s="34"/>
      <c r="G24" s="34"/>
      <c r="H24" s="35"/>
      <c r="I24" s="36">
        <v>1997021</v>
      </c>
      <c r="J24" s="37"/>
      <c r="K24" s="38">
        <f t="shared" ref="K24:L24" si="4">SUM(K25:K33)</f>
        <v>153240870000</v>
      </c>
      <c r="L24" s="36">
        <f t="shared" si="4"/>
        <v>108424</v>
      </c>
      <c r="M24" s="37"/>
      <c r="N24" s="38">
        <f>SUM(N25:N33)</f>
        <v>8315665000</v>
      </c>
      <c r="O24" s="39">
        <f t="shared" ref="O24:O32" si="5">N24/K24</f>
        <v>5.4265320994327425E-2</v>
      </c>
    </row>
    <row r="25" spans="2:15" ht="15.75">
      <c r="B25" s="22"/>
      <c r="C25" s="23"/>
      <c r="D25" s="24" t="s">
        <v>10</v>
      </c>
      <c r="E25" s="25" t="s">
        <v>11</v>
      </c>
      <c r="F25" s="24"/>
      <c r="G25" s="24"/>
      <c r="H25" s="26"/>
      <c r="I25" s="27">
        <v>596792</v>
      </c>
      <c r="J25" s="28">
        <v>80000</v>
      </c>
      <c r="K25" s="28">
        <f t="shared" ref="K25:K33" si="6">I25*J25</f>
        <v>47743360000</v>
      </c>
      <c r="L25" s="27">
        <v>32618</v>
      </c>
      <c r="M25" s="28">
        <v>80000</v>
      </c>
      <c r="N25" s="28">
        <f t="shared" ref="N25:N33" si="7">L25*M25</f>
        <v>2609440000</v>
      </c>
      <c r="O25" s="29">
        <f t="shared" si="5"/>
        <v>5.4655558385501145E-2</v>
      </c>
    </row>
    <row r="26" spans="2:15" ht="15.75">
      <c r="B26" s="22"/>
      <c r="C26" s="23"/>
      <c r="D26" s="24" t="s">
        <v>12</v>
      </c>
      <c r="E26" s="25" t="s">
        <v>13</v>
      </c>
      <c r="F26" s="24"/>
      <c r="G26" s="24"/>
      <c r="H26" s="26"/>
      <c r="I26" s="27">
        <v>63576</v>
      </c>
      <c r="J26" s="28">
        <v>80000</v>
      </c>
      <c r="K26" s="28">
        <f t="shared" si="6"/>
        <v>5086080000</v>
      </c>
      <c r="L26" s="27">
        <v>2615</v>
      </c>
      <c r="M26" s="28">
        <v>80000</v>
      </c>
      <c r="N26" s="28">
        <f t="shared" si="7"/>
        <v>209200000</v>
      </c>
      <c r="O26" s="29">
        <f t="shared" si="5"/>
        <v>4.1131873663017487E-2</v>
      </c>
    </row>
    <row r="27" spans="2:15" ht="15.75">
      <c r="B27" s="22"/>
      <c r="C27" s="23"/>
      <c r="D27" s="24" t="s">
        <v>14</v>
      </c>
      <c r="E27" s="25" t="s">
        <v>15</v>
      </c>
      <c r="F27" s="24"/>
      <c r="G27" s="24"/>
      <c r="H27" s="26"/>
      <c r="I27" s="27">
        <v>35983</v>
      </c>
      <c r="J27" s="28">
        <v>80000</v>
      </c>
      <c r="K27" s="28">
        <f t="shared" si="6"/>
        <v>2878640000</v>
      </c>
      <c r="L27" s="27">
        <v>1612</v>
      </c>
      <c r="M27" s="28">
        <v>80000</v>
      </c>
      <c r="N27" s="28">
        <f t="shared" si="7"/>
        <v>128960000</v>
      </c>
      <c r="O27" s="29">
        <f t="shared" si="5"/>
        <v>4.4798932829391659E-2</v>
      </c>
    </row>
    <row r="28" spans="2:15" ht="15.75">
      <c r="B28" s="22"/>
      <c r="C28" s="23"/>
      <c r="D28" s="24" t="s">
        <v>16</v>
      </c>
      <c r="E28" s="25" t="s">
        <v>17</v>
      </c>
      <c r="F28" s="24"/>
      <c r="G28" s="24"/>
      <c r="H28" s="26"/>
      <c r="I28" s="27">
        <v>1296381</v>
      </c>
      <c r="J28" s="28">
        <v>75000</v>
      </c>
      <c r="K28" s="28">
        <f t="shared" si="6"/>
        <v>97228575000</v>
      </c>
      <c r="L28" s="27">
        <v>71571</v>
      </c>
      <c r="M28" s="28">
        <v>75000</v>
      </c>
      <c r="N28" s="28">
        <f t="shared" si="7"/>
        <v>5367825000</v>
      </c>
      <c r="O28" s="29">
        <f t="shared" si="5"/>
        <v>5.5208306817208827E-2</v>
      </c>
    </row>
    <row r="29" spans="2:15" ht="15.75">
      <c r="B29" s="22"/>
      <c r="C29" s="23"/>
      <c r="D29" s="24" t="s">
        <v>18</v>
      </c>
      <c r="E29" s="25" t="s">
        <v>19</v>
      </c>
      <c r="F29" s="24"/>
      <c r="G29" s="24"/>
      <c r="H29" s="26"/>
      <c r="I29" s="27">
        <v>3815</v>
      </c>
      <c r="J29" s="28">
        <v>75000</v>
      </c>
      <c r="K29" s="28">
        <f t="shared" si="6"/>
        <v>286125000</v>
      </c>
      <c r="L29" s="27">
        <v>0</v>
      </c>
      <c r="M29" s="28">
        <v>75000</v>
      </c>
      <c r="N29" s="28">
        <f t="shared" si="7"/>
        <v>0</v>
      </c>
      <c r="O29" s="29">
        <f t="shared" si="5"/>
        <v>0</v>
      </c>
    </row>
    <row r="30" spans="2:15" ht="15.75">
      <c r="B30" s="22"/>
      <c r="C30" s="23"/>
      <c r="D30" s="24" t="s">
        <v>20</v>
      </c>
      <c r="E30" s="25" t="s">
        <v>21</v>
      </c>
      <c r="F30" s="24"/>
      <c r="G30" s="24"/>
      <c r="H30" s="26"/>
      <c r="I30" s="27">
        <v>86</v>
      </c>
      <c r="J30" s="28">
        <v>75000</v>
      </c>
      <c r="K30" s="28">
        <f t="shared" si="6"/>
        <v>6450000</v>
      </c>
      <c r="L30" s="27">
        <v>0</v>
      </c>
      <c r="M30" s="28">
        <v>75000</v>
      </c>
      <c r="N30" s="28">
        <f t="shared" si="7"/>
        <v>0</v>
      </c>
      <c r="O30" s="29">
        <f t="shared" si="5"/>
        <v>0</v>
      </c>
    </row>
    <row r="31" spans="2:15" ht="15.75">
      <c r="B31" s="22"/>
      <c r="C31" s="23"/>
      <c r="D31" s="24" t="s">
        <v>22</v>
      </c>
      <c r="E31" s="25" t="s">
        <v>23</v>
      </c>
      <c r="F31" s="24"/>
      <c r="G31" s="24"/>
      <c r="H31" s="26"/>
      <c r="I31" s="27">
        <v>360</v>
      </c>
      <c r="J31" s="28">
        <v>30000</v>
      </c>
      <c r="K31" s="28">
        <f t="shared" si="6"/>
        <v>10800000</v>
      </c>
      <c r="L31" s="27">
        <v>8</v>
      </c>
      <c r="M31" s="28">
        <v>30000</v>
      </c>
      <c r="N31" s="28">
        <f t="shared" si="7"/>
        <v>240000</v>
      </c>
      <c r="O31" s="29">
        <f t="shared" si="5"/>
        <v>2.2222222222222223E-2</v>
      </c>
    </row>
    <row r="32" spans="2:15" ht="15.75">
      <c r="B32" s="22"/>
      <c r="C32" s="23"/>
      <c r="D32" s="24" t="s">
        <v>24</v>
      </c>
      <c r="E32" s="25" t="s">
        <v>25</v>
      </c>
      <c r="F32" s="24"/>
      <c r="G32" s="24"/>
      <c r="H32" s="26"/>
      <c r="I32" s="27">
        <v>28</v>
      </c>
      <c r="J32" s="28">
        <v>30000</v>
      </c>
      <c r="K32" s="28">
        <f t="shared" si="6"/>
        <v>840000</v>
      </c>
      <c r="L32" s="27">
        <v>0</v>
      </c>
      <c r="M32" s="28">
        <v>30000</v>
      </c>
      <c r="N32" s="28">
        <f t="shared" si="7"/>
        <v>0</v>
      </c>
      <c r="O32" s="29">
        <f t="shared" si="5"/>
        <v>0</v>
      </c>
    </row>
    <row r="33" spans="2:15" ht="15.75">
      <c r="B33" s="22"/>
      <c r="C33" s="23"/>
      <c r="D33" s="24" t="s">
        <v>26</v>
      </c>
      <c r="E33" s="25" t="s">
        <v>29</v>
      </c>
      <c r="F33" s="24"/>
      <c r="G33" s="24"/>
      <c r="H33" s="26"/>
      <c r="I33" s="27">
        <v>0</v>
      </c>
      <c r="J33" s="28">
        <v>225000</v>
      </c>
      <c r="K33" s="28">
        <f t="shared" si="6"/>
        <v>0</v>
      </c>
      <c r="L33" s="27">
        <v>0</v>
      </c>
      <c r="M33" s="28">
        <v>225000</v>
      </c>
      <c r="N33" s="28">
        <f t="shared" si="7"/>
        <v>0</v>
      </c>
      <c r="O33" s="29"/>
    </row>
    <row r="34" spans="2:15" ht="15.75">
      <c r="B34" s="22"/>
      <c r="C34" s="23"/>
      <c r="D34" s="24"/>
      <c r="E34" s="25"/>
      <c r="F34" s="24"/>
      <c r="G34" s="24"/>
      <c r="H34" s="26"/>
      <c r="I34" s="40"/>
      <c r="J34" s="28"/>
      <c r="K34" s="41"/>
      <c r="L34" s="40"/>
      <c r="M34" s="28"/>
      <c r="N34" s="41"/>
      <c r="O34" s="29"/>
    </row>
    <row r="35" spans="2:15" ht="15.75">
      <c r="B35" s="31"/>
      <c r="C35" s="32">
        <v>3</v>
      </c>
      <c r="D35" s="33" t="s">
        <v>30</v>
      </c>
      <c r="E35" s="42"/>
      <c r="F35" s="42"/>
      <c r="G35" s="42"/>
      <c r="H35" s="43"/>
      <c r="I35" s="36">
        <v>100000</v>
      </c>
      <c r="J35" s="38">
        <v>50000</v>
      </c>
      <c r="K35" s="38">
        <f>I35*J35</f>
        <v>5000000000</v>
      </c>
      <c r="L35" s="36">
        <v>5941</v>
      </c>
      <c r="M35" s="38">
        <v>50000</v>
      </c>
      <c r="N35" s="38">
        <f>L35*M35</f>
        <v>297050000</v>
      </c>
      <c r="O35" s="39">
        <f>N35/K35</f>
        <v>5.9409999999999998E-2</v>
      </c>
    </row>
    <row r="36" spans="2:15" ht="15.75">
      <c r="B36" s="22"/>
      <c r="C36" s="44"/>
      <c r="D36" s="45"/>
      <c r="E36" s="24"/>
      <c r="F36" s="24"/>
      <c r="G36" s="24"/>
      <c r="H36" s="26"/>
      <c r="I36" s="46"/>
      <c r="J36" s="28"/>
      <c r="K36" s="41"/>
      <c r="L36" s="46"/>
      <c r="M36" s="28"/>
      <c r="N36" s="41"/>
      <c r="O36" s="29"/>
    </row>
    <row r="37" spans="2:15" ht="15.75">
      <c r="B37" s="31"/>
      <c r="C37" s="32">
        <v>4</v>
      </c>
      <c r="D37" s="33" t="s">
        <v>31</v>
      </c>
      <c r="E37" s="34"/>
      <c r="F37" s="34"/>
      <c r="G37" s="34"/>
      <c r="H37" s="35"/>
      <c r="I37" s="36">
        <v>6000000</v>
      </c>
      <c r="J37" s="37"/>
      <c r="K37" s="38">
        <f>+K38+K41</f>
        <v>727309900000</v>
      </c>
      <c r="L37" s="36">
        <f>L38+L41</f>
        <v>279047</v>
      </c>
      <c r="M37" s="37"/>
      <c r="N37" s="38">
        <f>+N38+N41</f>
        <v>32410500000</v>
      </c>
      <c r="O37" s="39">
        <f t="shared" ref="O37:O43" si="8">N37/K37</f>
        <v>4.4562159816606377E-2</v>
      </c>
    </row>
    <row r="38" spans="2:15" ht="15.75">
      <c r="B38" s="22"/>
      <c r="C38" s="23"/>
      <c r="D38" s="47" t="s">
        <v>10</v>
      </c>
      <c r="E38" s="45" t="s">
        <v>32</v>
      </c>
      <c r="F38" s="24"/>
      <c r="G38" s="24"/>
      <c r="H38" s="26"/>
      <c r="I38" s="48">
        <v>4726901</v>
      </c>
      <c r="J38" s="49"/>
      <c r="K38" s="50">
        <f t="shared" ref="K38:L38" si="9">SUM(K39:K40)</f>
        <v>472690100000</v>
      </c>
      <c r="L38" s="48">
        <f t="shared" si="9"/>
        <v>233989</v>
      </c>
      <c r="M38" s="49"/>
      <c r="N38" s="50">
        <f>SUM(N39:N40)</f>
        <v>23398900000</v>
      </c>
      <c r="O38" s="29">
        <f t="shared" si="8"/>
        <v>4.9501565613496029E-2</v>
      </c>
    </row>
    <row r="39" spans="2:15" ht="15.75">
      <c r="B39" s="22"/>
      <c r="C39" s="23"/>
      <c r="D39" s="24"/>
      <c r="E39" s="24" t="s">
        <v>33</v>
      </c>
      <c r="F39" s="25" t="s">
        <v>34</v>
      </c>
      <c r="G39" s="24"/>
      <c r="H39" s="26"/>
      <c r="I39" s="27">
        <v>2267860</v>
      </c>
      <c r="J39" s="28">
        <v>100000</v>
      </c>
      <c r="K39" s="28">
        <f t="shared" ref="K39:K40" si="10">I39*J39</f>
        <v>226786000000</v>
      </c>
      <c r="L39" s="27">
        <v>52453</v>
      </c>
      <c r="M39" s="28">
        <v>100000</v>
      </c>
      <c r="N39" s="28">
        <f t="shared" ref="N39:N40" si="11">L39*M39</f>
        <v>5245300000</v>
      </c>
      <c r="O39" s="29">
        <f t="shared" si="8"/>
        <v>2.3128852751051653E-2</v>
      </c>
    </row>
    <row r="40" spans="2:15" ht="15.75">
      <c r="B40" s="22"/>
      <c r="C40" s="23"/>
      <c r="D40" s="24"/>
      <c r="E40" s="24" t="s">
        <v>35</v>
      </c>
      <c r="F40" s="25" t="s">
        <v>36</v>
      </c>
      <c r="G40" s="24"/>
      <c r="H40" s="26"/>
      <c r="I40" s="27">
        <v>2459041</v>
      </c>
      <c r="J40" s="28">
        <v>100000</v>
      </c>
      <c r="K40" s="28">
        <f t="shared" si="10"/>
        <v>245904100000</v>
      </c>
      <c r="L40" s="27">
        <v>181536</v>
      </c>
      <c r="M40" s="28">
        <v>100000</v>
      </c>
      <c r="N40" s="28">
        <f t="shared" si="11"/>
        <v>18153600000</v>
      </c>
      <c r="O40" s="29">
        <f t="shared" si="8"/>
        <v>7.3823901268827971E-2</v>
      </c>
    </row>
    <row r="41" spans="2:15" ht="15.75">
      <c r="B41" s="22"/>
      <c r="C41" s="23"/>
      <c r="D41" s="47" t="s">
        <v>12</v>
      </c>
      <c r="E41" s="45" t="s">
        <v>37</v>
      </c>
      <c r="F41" s="24"/>
      <c r="G41" s="24"/>
      <c r="H41" s="26"/>
      <c r="I41" s="48">
        <v>1273099</v>
      </c>
      <c r="J41" s="49"/>
      <c r="K41" s="50">
        <f t="shared" ref="K41:L41" si="12">SUM(K42:K43)</f>
        <v>254619800000</v>
      </c>
      <c r="L41" s="48">
        <f t="shared" si="12"/>
        <v>45058</v>
      </c>
      <c r="M41" s="49"/>
      <c r="N41" s="50">
        <f>SUM(N42:N43)</f>
        <v>9011600000</v>
      </c>
      <c r="O41" s="29">
        <f t="shared" si="8"/>
        <v>3.5392377183549747E-2</v>
      </c>
    </row>
    <row r="42" spans="2:15" ht="15.75">
      <c r="B42" s="22"/>
      <c r="C42" s="23"/>
      <c r="D42" s="24"/>
      <c r="E42" s="24" t="s">
        <v>33</v>
      </c>
      <c r="F42" s="25" t="s">
        <v>34</v>
      </c>
      <c r="G42" s="24"/>
      <c r="H42" s="26"/>
      <c r="I42" s="27">
        <v>626781</v>
      </c>
      <c r="J42" s="28">
        <v>200000</v>
      </c>
      <c r="K42" s="28">
        <f t="shared" ref="K42:K43" si="13">I42*J42</f>
        <v>125356200000</v>
      </c>
      <c r="L42" s="27">
        <v>5268</v>
      </c>
      <c r="M42" s="28">
        <v>200000</v>
      </c>
      <c r="N42" s="28">
        <f t="shared" ref="N42:N43" si="14">L42*M42</f>
        <v>1053600000</v>
      </c>
      <c r="O42" s="29">
        <f t="shared" si="8"/>
        <v>8.4048495407486826E-3</v>
      </c>
    </row>
    <row r="43" spans="2:15" ht="15.75">
      <c r="B43" s="22"/>
      <c r="C43" s="23"/>
      <c r="D43" s="24"/>
      <c r="E43" s="24" t="s">
        <v>35</v>
      </c>
      <c r="F43" s="25" t="s">
        <v>36</v>
      </c>
      <c r="G43" s="24"/>
      <c r="H43" s="26"/>
      <c r="I43" s="27">
        <v>646318</v>
      </c>
      <c r="J43" s="28">
        <v>200000</v>
      </c>
      <c r="K43" s="28">
        <f t="shared" si="13"/>
        <v>129263600000</v>
      </c>
      <c r="L43" s="27">
        <v>39790</v>
      </c>
      <c r="M43" s="28">
        <v>200000</v>
      </c>
      <c r="N43" s="28">
        <f t="shared" si="14"/>
        <v>7958000000</v>
      </c>
      <c r="O43" s="29">
        <f t="shared" si="8"/>
        <v>6.1564121686228761E-2</v>
      </c>
    </row>
    <row r="44" spans="2:15" ht="15.75">
      <c r="B44" s="51"/>
      <c r="C44" s="52"/>
      <c r="D44" s="53"/>
      <c r="E44" s="53"/>
      <c r="F44" s="54"/>
      <c r="G44" s="53"/>
      <c r="H44" s="55"/>
      <c r="I44" s="56"/>
      <c r="J44" s="57"/>
      <c r="K44" s="58"/>
      <c r="L44" s="56"/>
      <c r="M44" s="57"/>
      <c r="N44" s="58"/>
      <c r="O44" s="59"/>
    </row>
    <row r="45" spans="2:15" ht="15.75">
      <c r="B45" s="60"/>
      <c r="C45" s="61">
        <v>5</v>
      </c>
      <c r="D45" s="62" t="s">
        <v>38</v>
      </c>
      <c r="E45" s="63"/>
      <c r="F45" s="63"/>
      <c r="G45" s="63"/>
      <c r="H45" s="64"/>
      <c r="I45" s="65">
        <v>6000000</v>
      </c>
      <c r="J45" s="66"/>
      <c r="K45" s="65">
        <f>SUM(K46,K47)</f>
        <v>411586320000</v>
      </c>
      <c r="L45" s="65">
        <f>SUM(L46:L47)</f>
        <v>273117</v>
      </c>
      <c r="M45" s="66"/>
      <c r="N45" s="65">
        <f>SUM(N46,N47)</f>
        <v>18163260000</v>
      </c>
      <c r="O45" s="67">
        <f t="shared" ref="O45:O47" si="15">N45/K45</f>
        <v>4.4129892363769525E-2</v>
      </c>
    </row>
    <row r="46" spans="2:15" ht="15.75">
      <c r="B46" s="22"/>
      <c r="C46" s="23"/>
      <c r="D46" s="24" t="s">
        <v>10</v>
      </c>
      <c r="E46" s="25" t="s">
        <v>39</v>
      </c>
      <c r="F46" s="24"/>
      <c r="G46" s="24"/>
      <c r="H46" s="26"/>
      <c r="I46" s="48">
        <v>4710342</v>
      </c>
      <c r="J46" s="28">
        <v>60000</v>
      </c>
      <c r="K46" s="27">
        <f t="shared" ref="K46:K47" si="16">I46*J46</f>
        <v>282620520000</v>
      </c>
      <c r="L46" s="27">
        <v>228711</v>
      </c>
      <c r="M46" s="28">
        <v>60000</v>
      </c>
      <c r="N46" s="28">
        <f t="shared" ref="N46:N47" si="17">L46*M46</f>
        <v>13722660000</v>
      </c>
      <c r="O46" s="29">
        <f t="shared" si="15"/>
        <v>4.8555073071127317E-2</v>
      </c>
    </row>
    <row r="47" spans="2:15" ht="15.75">
      <c r="B47" s="22"/>
      <c r="C47" s="23"/>
      <c r="D47" s="24" t="s">
        <v>12</v>
      </c>
      <c r="E47" s="25" t="s">
        <v>40</v>
      </c>
      <c r="F47" s="24"/>
      <c r="G47" s="24"/>
      <c r="H47" s="26"/>
      <c r="I47" s="27">
        <v>1289658</v>
      </c>
      <c r="J47" s="28">
        <v>100000</v>
      </c>
      <c r="K47" s="28">
        <f t="shared" si="16"/>
        <v>128965800000</v>
      </c>
      <c r="L47" s="27">
        <v>44406</v>
      </c>
      <c r="M47" s="28">
        <v>100000</v>
      </c>
      <c r="N47" s="28">
        <f t="shared" si="17"/>
        <v>4440600000</v>
      </c>
      <c r="O47" s="29">
        <f t="shared" si="15"/>
        <v>3.4432384399585007E-2</v>
      </c>
    </row>
    <row r="48" spans="2:15" ht="15.75">
      <c r="B48" s="22"/>
      <c r="C48" s="23"/>
      <c r="D48" s="24"/>
      <c r="E48" s="25"/>
      <c r="F48" s="24"/>
      <c r="G48" s="24"/>
      <c r="H48" s="26"/>
      <c r="I48" s="27"/>
      <c r="J48" s="28"/>
      <c r="K48" s="28"/>
      <c r="L48" s="27"/>
      <c r="M48" s="28"/>
      <c r="N48" s="28"/>
      <c r="O48" s="29"/>
    </row>
    <row r="49" spans="2:15" ht="15.75">
      <c r="B49" s="31"/>
      <c r="C49" s="32">
        <v>6</v>
      </c>
      <c r="D49" s="33" t="s">
        <v>41</v>
      </c>
      <c r="E49" s="34"/>
      <c r="F49" s="34"/>
      <c r="G49" s="34"/>
      <c r="H49" s="35"/>
      <c r="I49" s="36">
        <v>1500000</v>
      </c>
      <c r="J49" s="37"/>
      <c r="K49" s="38">
        <f t="shared" ref="K49:L49" si="18">SUM(K50:K51)</f>
        <v>43861750000</v>
      </c>
      <c r="L49" s="36">
        <f t="shared" si="18"/>
        <v>58133</v>
      </c>
      <c r="M49" s="37"/>
      <c r="N49" s="38">
        <f>SUM(N50:N51)</f>
        <v>1594200000</v>
      </c>
      <c r="O49" s="39">
        <f t="shared" ref="O49:O51" si="19">N49/K49</f>
        <v>3.6346019025688667E-2</v>
      </c>
    </row>
    <row r="50" spans="2:15" ht="15.75">
      <c r="B50" s="22"/>
      <c r="C50" s="23"/>
      <c r="D50" s="24" t="s">
        <v>10</v>
      </c>
      <c r="E50" s="25" t="s">
        <v>39</v>
      </c>
      <c r="F50" s="24"/>
      <c r="G50" s="24"/>
      <c r="H50" s="26"/>
      <c r="I50" s="27">
        <v>1245530</v>
      </c>
      <c r="J50" s="28">
        <v>25000</v>
      </c>
      <c r="K50" s="28">
        <f t="shared" ref="K50:K51" si="20">I50*J50</f>
        <v>31138250000</v>
      </c>
      <c r="L50" s="27">
        <v>52498</v>
      </c>
      <c r="M50" s="28">
        <v>25000</v>
      </c>
      <c r="N50" s="28">
        <f t="shared" ref="N50:N51" si="21">L50*M50</f>
        <v>1312450000</v>
      </c>
      <c r="O50" s="29">
        <f t="shared" si="19"/>
        <v>4.2149125271972572E-2</v>
      </c>
    </row>
    <row r="51" spans="2:15" ht="15.75">
      <c r="B51" s="22"/>
      <c r="C51" s="23"/>
      <c r="D51" s="24" t="s">
        <v>12</v>
      </c>
      <c r="E51" s="25" t="s">
        <v>40</v>
      </c>
      <c r="F51" s="24"/>
      <c r="G51" s="24"/>
      <c r="H51" s="26"/>
      <c r="I51" s="27">
        <v>254470</v>
      </c>
      <c r="J51" s="28">
        <v>50000</v>
      </c>
      <c r="K51" s="28">
        <f t="shared" si="20"/>
        <v>12723500000</v>
      </c>
      <c r="L51" s="27">
        <v>5635</v>
      </c>
      <c r="M51" s="28">
        <v>50000</v>
      </c>
      <c r="N51" s="28">
        <f t="shared" si="21"/>
        <v>281750000</v>
      </c>
      <c r="O51" s="29">
        <f t="shared" si="19"/>
        <v>2.2144064133296656E-2</v>
      </c>
    </row>
    <row r="52" spans="2:15" ht="15.75">
      <c r="B52" s="22"/>
      <c r="C52" s="23"/>
      <c r="D52" s="24"/>
      <c r="E52" s="25"/>
      <c r="F52" s="24"/>
      <c r="G52" s="24"/>
      <c r="H52" s="26"/>
      <c r="I52" s="27"/>
      <c r="J52" s="49"/>
      <c r="K52" s="41"/>
      <c r="L52" s="27"/>
      <c r="M52" s="49"/>
      <c r="N52" s="41"/>
      <c r="O52" s="29"/>
    </row>
    <row r="53" spans="2:15" ht="15.75">
      <c r="B53" s="31"/>
      <c r="C53" s="32">
        <v>7</v>
      </c>
      <c r="D53" s="33" t="s">
        <v>42</v>
      </c>
      <c r="E53" s="34"/>
      <c r="F53" s="34"/>
      <c r="G53" s="34"/>
      <c r="H53" s="35"/>
      <c r="I53" s="36">
        <v>75000</v>
      </c>
      <c r="J53" s="37"/>
      <c r="K53" s="38">
        <f t="shared" ref="K53:L53" si="22">SUM(K54:K55)</f>
        <v>5024800000</v>
      </c>
      <c r="L53" s="36">
        <f t="shared" si="22"/>
        <v>4659</v>
      </c>
      <c r="M53" s="37"/>
      <c r="N53" s="38">
        <f>SUM(N54:N55)</f>
        <v>323060000</v>
      </c>
      <c r="O53" s="39">
        <f t="shared" ref="O53:O55" si="23">N53/K53</f>
        <v>6.4293106193281324E-2</v>
      </c>
    </row>
    <row r="54" spans="2:15" ht="15.75">
      <c r="B54" s="22"/>
      <c r="C54" s="23"/>
      <c r="D54" s="24" t="s">
        <v>10</v>
      </c>
      <c r="E54" s="25" t="s">
        <v>39</v>
      </c>
      <c r="F54" s="24"/>
      <c r="G54" s="24"/>
      <c r="H54" s="26"/>
      <c r="I54" s="27">
        <v>61880</v>
      </c>
      <c r="J54" s="28">
        <v>60000</v>
      </c>
      <c r="K54" s="28">
        <f t="shared" ref="K54:K55" si="24">I54*J54</f>
        <v>3712800000</v>
      </c>
      <c r="L54" s="27">
        <v>3571</v>
      </c>
      <c r="M54" s="28">
        <v>60000</v>
      </c>
      <c r="N54" s="28">
        <f t="shared" ref="N54:N55" si="25">L54*M54</f>
        <v>214260000</v>
      </c>
      <c r="O54" s="29">
        <f t="shared" si="23"/>
        <v>5.7708468002585653E-2</v>
      </c>
    </row>
    <row r="55" spans="2:15" ht="15.75">
      <c r="B55" s="22"/>
      <c r="C55" s="23"/>
      <c r="D55" s="24" t="s">
        <v>12</v>
      </c>
      <c r="E55" s="25" t="s">
        <v>40</v>
      </c>
      <c r="F55" s="24"/>
      <c r="G55" s="24"/>
      <c r="H55" s="26"/>
      <c r="I55" s="27">
        <v>13120</v>
      </c>
      <c r="J55" s="28">
        <v>100000</v>
      </c>
      <c r="K55" s="28">
        <f t="shared" si="24"/>
        <v>1312000000</v>
      </c>
      <c r="L55" s="27">
        <v>1088</v>
      </c>
      <c r="M55" s="28">
        <v>100000</v>
      </c>
      <c r="N55" s="28">
        <f t="shared" si="25"/>
        <v>108800000</v>
      </c>
      <c r="O55" s="29">
        <f t="shared" si="23"/>
        <v>8.2926829268292687E-2</v>
      </c>
    </row>
    <row r="56" spans="2:15" ht="15.75">
      <c r="B56" s="22"/>
      <c r="C56" s="23"/>
      <c r="D56" s="24"/>
      <c r="E56" s="25"/>
      <c r="F56" s="24"/>
      <c r="G56" s="24"/>
      <c r="H56" s="26"/>
      <c r="I56" s="27"/>
      <c r="J56" s="49"/>
      <c r="K56" s="41"/>
      <c r="L56" s="27"/>
      <c r="M56" s="49"/>
      <c r="N56" s="41"/>
      <c r="O56" s="29"/>
    </row>
    <row r="57" spans="2:15" ht="15.75">
      <c r="B57" s="31"/>
      <c r="C57" s="32">
        <v>8</v>
      </c>
      <c r="D57" s="33" t="s">
        <v>43</v>
      </c>
      <c r="E57" s="34"/>
      <c r="F57" s="34"/>
      <c r="G57" s="34"/>
      <c r="H57" s="35"/>
      <c r="I57" s="36">
        <v>2400000</v>
      </c>
      <c r="J57" s="37"/>
      <c r="K57" s="38">
        <f t="shared" ref="K57:L57" si="26">+K58+K61</f>
        <v>607771500000</v>
      </c>
      <c r="L57" s="36">
        <f t="shared" si="26"/>
        <v>106876</v>
      </c>
      <c r="M57" s="37"/>
      <c r="N57" s="38">
        <f>+N58+N61</f>
        <v>26876400000</v>
      </c>
      <c r="O57" s="39">
        <f t="shared" ref="O57:O63" si="27">N57/K57</f>
        <v>4.4221224588517231E-2</v>
      </c>
    </row>
    <row r="58" spans="2:15" ht="15.75">
      <c r="B58" s="22"/>
      <c r="C58" s="23"/>
      <c r="D58" s="47" t="s">
        <v>10</v>
      </c>
      <c r="E58" s="45" t="s">
        <v>32</v>
      </c>
      <c r="F58" s="24"/>
      <c r="G58" s="24"/>
      <c r="H58" s="26"/>
      <c r="I58" s="48">
        <v>1948190</v>
      </c>
      <c r="J58" s="49"/>
      <c r="K58" s="50">
        <f t="shared" ref="K58:L58" si="28">K59+K60</f>
        <v>438342750000</v>
      </c>
      <c r="L58" s="48">
        <f t="shared" si="28"/>
        <v>88014</v>
      </c>
      <c r="M58" s="49"/>
      <c r="N58" s="50">
        <f>N59+N60</f>
        <v>19803150000</v>
      </c>
      <c r="O58" s="29">
        <f t="shared" si="27"/>
        <v>4.5177318434033643E-2</v>
      </c>
    </row>
    <row r="59" spans="2:15" ht="15.75">
      <c r="B59" s="22"/>
      <c r="C59" s="23"/>
      <c r="D59" s="24"/>
      <c r="E59" s="24" t="s">
        <v>33</v>
      </c>
      <c r="F59" s="25" t="s">
        <v>34</v>
      </c>
      <c r="G59" s="24"/>
      <c r="H59" s="26"/>
      <c r="I59" s="27">
        <v>1619192</v>
      </c>
      <c r="J59" s="28">
        <v>225000</v>
      </c>
      <c r="K59" s="28">
        <f t="shared" ref="K59:K60" si="29">I59*J59</f>
        <v>364318200000</v>
      </c>
      <c r="L59" s="27">
        <v>52527</v>
      </c>
      <c r="M59" s="28">
        <v>225000</v>
      </c>
      <c r="N59" s="28">
        <f t="shared" ref="N59:N60" si="30">L59*M59</f>
        <v>11818575000</v>
      </c>
      <c r="O59" s="29">
        <f t="shared" si="27"/>
        <v>3.2440254151453317E-2</v>
      </c>
    </row>
    <row r="60" spans="2:15" ht="15.75">
      <c r="B60" s="22"/>
      <c r="C60" s="23"/>
      <c r="D60" s="24"/>
      <c r="E60" s="24" t="s">
        <v>35</v>
      </c>
      <c r="F60" s="25" t="s">
        <v>44</v>
      </c>
      <c r="G60" s="24"/>
      <c r="H60" s="26"/>
      <c r="I60" s="27">
        <v>328998</v>
      </c>
      <c r="J60" s="28">
        <v>225000</v>
      </c>
      <c r="K60" s="28">
        <f t="shared" si="29"/>
        <v>74024550000</v>
      </c>
      <c r="L60" s="27">
        <v>35487</v>
      </c>
      <c r="M60" s="28">
        <v>225000</v>
      </c>
      <c r="N60" s="28">
        <f t="shared" si="30"/>
        <v>7984575000</v>
      </c>
      <c r="O60" s="29">
        <f t="shared" si="27"/>
        <v>0.10786387759196105</v>
      </c>
    </row>
    <row r="61" spans="2:15" ht="15.75">
      <c r="B61" s="22"/>
      <c r="C61" s="23"/>
      <c r="D61" s="47" t="s">
        <v>12</v>
      </c>
      <c r="E61" s="45" t="s">
        <v>40</v>
      </c>
      <c r="F61" s="24"/>
      <c r="G61" s="24"/>
      <c r="H61" s="26"/>
      <c r="I61" s="48">
        <v>451810</v>
      </c>
      <c r="J61" s="49"/>
      <c r="K61" s="48">
        <f t="shared" ref="K61:L61" si="31">K62+K63</f>
        <v>169428750000</v>
      </c>
      <c r="L61" s="48">
        <f t="shared" si="31"/>
        <v>18862</v>
      </c>
      <c r="M61" s="49"/>
      <c r="N61" s="48">
        <f>N62+N63</f>
        <v>7073250000</v>
      </c>
      <c r="O61" s="29">
        <f t="shared" si="27"/>
        <v>4.1747637281158011E-2</v>
      </c>
    </row>
    <row r="62" spans="2:15" ht="15.75">
      <c r="B62" s="22"/>
      <c r="C62" s="23"/>
      <c r="D62" s="24"/>
      <c r="E62" s="24" t="s">
        <v>33</v>
      </c>
      <c r="F62" s="25" t="s">
        <v>34</v>
      </c>
      <c r="G62" s="24"/>
      <c r="H62" s="26"/>
      <c r="I62" s="27">
        <v>319858</v>
      </c>
      <c r="J62" s="28">
        <v>375000</v>
      </c>
      <c r="K62" s="28">
        <f t="shared" ref="K62:K63" si="32">I62*J62</f>
        <v>119946750000</v>
      </c>
      <c r="L62" s="27">
        <v>5264</v>
      </c>
      <c r="M62" s="28">
        <v>375000</v>
      </c>
      <c r="N62" s="28">
        <f t="shared" ref="N62:N63" si="33">L62*M62</f>
        <v>1974000000</v>
      </c>
      <c r="O62" s="29">
        <f t="shared" si="27"/>
        <v>1.6457302928174378E-2</v>
      </c>
    </row>
    <row r="63" spans="2:15" ht="15.75">
      <c r="B63" s="22"/>
      <c r="C63" s="23"/>
      <c r="D63" s="24"/>
      <c r="E63" s="24" t="s">
        <v>35</v>
      </c>
      <c r="F63" s="25" t="s">
        <v>44</v>
      </c>
      <c r="G63" s="24"/>
      <c r="H63" s="26"/>
      <c r="I63" s="27">
        <v>131952</v>
      </c>
      <c r="J63" s="28">
        <v>375000</v>
      </c>
      <c r="K63" s="28">
        <f t="shared" si="32"/>
        <v>49482000000</v>
      </c>
      <c r="L63" s="27">
        <v>13598</v>
      </c>
      <c r="M63" s="28">
        <v>375000</v>
      </c>
      <c r="N63" s="28">
        <f t="shared" si="33"/>
        <v>5099250000</v>
      </c>
      <c r="O63" s="29">
        <f t="shared" si="27"/>
        <v>0.10305262519704135</v>
      </c>
    </row>
    <row r="64" spans="2:15" ht="15.75">
      <c r="B64" s="22"/>
      <c r="C64" s="23"/>
      <c r="D64" s="24"/>
      <c r="E64" s="24"/>
      <c r="F64" s="25"/>
      <c r="G64" s="24"/>
      <c r="H64" s="26"/>
      <c r="I64" s="27"/>
      <c r="J64" s="49"/>
      <c r="K64" s="41"/>
      <c r="L64" s="27"/>
      <c r="M64" s="49"/>
      <c r="N64" s="41"/>
      <c r="O64" s="29"/>
    </row>
    <row r="65" spans="2:15" ht="15.75">
      <c r="B65" s="31"/>
      <c r="C65" s="32">
        <v>9</v>
      </c>
      <c r="D65" s="33" t="s">
        <v>45</v>
      </c>
      <c r="E65" s="34"/>
      <c r="F65" s="34"/>
      <c r="G65" s="34"/>
      <c r="H65" s="35"/>
      <c r="I65" s="36">
        <v>250000</v>
      </c>
      <c r="J65" s="37"/>
      <c r="K65" s="38">
        <f t="shared" ref="K65:L65" si="34">SUM(K66:K67)</f>
        <v>50337200000</v>
      </c>
      <c r="L65" s="36">
        <f t="shared" si="34"/>
        <v>17758</v>
      </c>
      <c r="M65" s="37"/>
      <c r="N65" s="38">
        <f>SUM(N66:N67)</f>
        <v>3482600000</v>
      </c>
      <c r="O65" s="39">
        <f t="shared" ref="O65:O67" si="35">N65/K65</f>
        <v>6.9185413570877999E-2</v>
      </c>
    </row>
    <row r="66" spans="2:15" ht="15.75">
      <c r="B66" s="22"/>
      <c r="C66" s="23"/>
      <c r="D66" s="24" t="s">
        <v>10</v>
      </c>
      <c r="E66" s="25" t="s">
        <v>46</v>
      </c>
      <c r="F66" s="24"/>
      <c r="G66" s="24"/>
      <c r="H66" s="26"/>
      <c r="I66" s="27">
        <v>121628</v>
      </c>
      <c r="J66" s="28">
        <v>150000</v>
      </c>
      <c r="K66" s="28">
        <f t="shared" ref="K66:K67" si="36">I66*J66</f>
        <v>18244200000</v>
      </c>
      <c r="L66" s="27">
        <v>9569</v>
      </c>
      <c r="M66" s="28">
        <v>150000</v>
      </c>
      <c r="N66" s="28">
        <f t="shared" ref="N66:N67" si="37">L66*M66</f>
        <v>1435350000</v>
      </c>
      <c r="O66" s="29">
        <f t="shared" si="35"/>
        <v>7.8674318413523209E-2</v>
      </c>
    </row>
    <row r="67" spans="2:15" ht="15.75">
      <c r="B67" s="22"/>
      <c r="C67" s="23"/>
      <c r="D67" s="24" t="s">
        <v>12</v>
      </c>
      <c r="E67" s="25" t="s">
        <v>40</v>
      </c>
      <c r="F67" s="24"/>
      <c r="G67" s="24"/>
      <c r="H67" s="26"/>
      <c r="I67" s="27">
        <v>128372</v>
      </c>
      <c r="J67" s="28">
        <v>250000</v>
      </c>
      <c r="K67" s="28">
        <f t="shared" si="36"/>
        <v>32093000000</v>
      </c>
      <c r="L67" s="27">
        <v>8189</v>
      </c>
      <c r="M67" s="28">
        <v>250000</v>
      </c>
      <c r="N67" s="28">
        <f t="shared" si="37"/>
        <v>2047250000</v>
      </c>
      <c r="O67" s="29">
        <f t="shared" si="35"/>
        <v>6.3791169413890875E-2</v>
      </c>
    </row>
    <row r="68" spans="2:15" ht="15.75">
      <c r="B68" s="22"/>
      <c r="C68" s="23"/>
      <c r="D68" s="24"/>
      <c r="E68" s="25"/>
      <c r="F68" s="24"/>
      <c r="G68" s="24"/>
      <c r="H68" s="26"/>
      <c r="I68" s="46"/>
      <c r="J68" s="49"/>
      <c r="K68" s="41"/>
      <c r="L68" s="46"/>
      <c r="M68" s="49"/>
      <c r="N68" s="41"/>
      <c r="O68" s="29"/>
    </row>
    <row r="69" spans="2:15" ht="15.75">
      <c r="B69" s="31"/>
      <c r="C69" s="32">
        <v>10</v>
      </c>
      <c r="D69" s="33" t="s">
        <v>47</v>
      </c>
      <c r="E69" s="34"/>
      <c r="F69" s="34"/>
      <c r="G69" s="34"/>
      <c r="H69" s="35"/>
      <c r="I69" s="36">
        <v>0</v>
      </c>
      <c r="J69" s="37"/>
      <c r="K69" s="38">
        <f t="shared" ref="K69:L69" si="38">+K70+K73</f>
        <v>0</v>
      </c>
      <c r="L69" s="36">
        <f t="shared" si="38"/>
        <v>0</v>
      </c>
      <c r="M69" s="37"/>
      <c r="N69" s="38">
        <f>+N70+N73</f>
        <v>0</v>
      </c>
      <c r="O69" s="39" t="e">
        <f t="shared" ref="O69:O75" si="39">N69/K69</f>
        <v>#DIV/0!</v>
      </c>
    </row>
    <row r="70" spans="2:15" ht="15.75">
      <c r="B70" s="22"/>
      <c r="C70" s="23"/>
      <c r="D70" s="47" t="s">
        <v>10</v>
      </c>
      <c r="E70" s="45" t="s">
        <v>46</v>
      </c>
      <c r="F70" s="24"/>
      <c r="G70" s="24"/>
      <c r="H70" s="26"/>
      <c r="I70" s="48">
        <v>0</v>
      </c>
      <c r="J70" s="49"/>
      <c r="K70" s="50">
        <f t="shared" ref="K70:L70" si="40">SUM(K71:K72)</f>
        <v>0</v>
      </c>
      <c r="L70" s="48">
        <f t="shared" si="40"/>
        <v>0</v>
      </c>
      <c r="M70" s="49"/>
      <c r="N70" s="50">
        <f>SUM(N71:N72)</f>
        <v>0</v>
      </c>
      <c r="O70" s="29" t="e">
        <f t="shared" si="39"/>
        <v>#DIV/0!</v>
      </c>
    </row>
    <row r="71" spans="2:15" ht="15.75">
      <c r="B71" s="22"/>
      <c r="C71" s="23"/>
      <c r="D71" s="24"/>
      <c r="E71" s="24" t="s">
        <v>33</v>
      </c>
      <c r="F71" s="25" t="s">
        <v>34</v>
      </c>
      <c r="G71" s="24"/>
      <c r="H71" s="26"/>
      <c r="I71" s="27">
        <v>0</v>
      </c>
      <c r="J71" s="28">
        <v>100000</v>
      </c>
      <c r="K71" s="28">
        <f t="shared" ref="K71:K72" si="41">I71*J71</f>
        <v>0</v>
      </c>
      <c r="L71" s="27">
        <f>'[1]L. MAT 09 STNKLBN'!G16</f>
        <v>0</v>
      </c>
      <c r="M71" s="28">
        <v>100000</v>
      </c>
      <c r="N71" s="28">
        <f t="shared" ref="N71:N72" si="42">L71*M71</f>
        <v>0</v>
      </c>
      <c r="O71" s="29" t="e">
        <f t="shared" si="39"/>
        <v>#DIV/0!</v>
      </c>
    </row>
    <row r="72" spans="2:15" ht="15.75">
      <c r="B72" s="22"/>
      <c r="C72" s="23"/>
      <c r="D72" s="24"/>
      <c r="E72" s="24" t="s">
        <v>35</v>
      </c>
      <c r="F72" s="25" t="s">
        <v>36</v>
      </c>
      <c r="G72" s="24"/>
      <c r="H72" s="26"/>
      <c r="I72" s="27">
        <v>0</v>
      </c>
      <c r="J72" s="28">
        <v>100000</v>
      </c>
      <c r="K72" s="28">
        <f t="shared" si="41"/>
        <v>0</v>
      </c>
      <c r="L72" s="27">
        <f>'[1]L. MAT 09 STNKLBN'!I16</f>
        <v>0</v>
      </c>
      <c r="M72" s="28">
        <v>100000</v>
      </c>
      <c r="N72" s="28">
        <f t="shared" si="42"/>
        <v>0</v>
      </c>
      <c r="O72" s="29" t="e">
        <f t="shared" si="39"/>
        <v>#DIV/0!</v>
      </c>
    </row>
    <row r="73" spans="2:15" ht="15.75">
      <c r="B73" s="22"/>
      <c r="C73" s="23"/>
      <c r="D73" s="47" t="s">
        <v>12</v>
      </c>
      <c r="E73" s="45" t="s">
        <v>40</v>
      </c>
      <c r="F73" s="24"/>
      <c r="G73" s="24"/>
      <c r="H73" s="26"/>
      <c r="I73" s="48">
        <v>0</v>
      </c>
      <c r="J73" s="49"/>
      <c r="K73" s="50">
        <f t="shared" ref="K73:L73" si="43">SUM(K74:K75)</f>
        <v>0</v>
      </c>
      <c r="L73" s="48">
        <f t="shared" si="43"/>
        <v>0</v>
      </c>
      <c r="M73" s="49"/>
      <c r="N73" s="50">
        <f>SUM(N74:N75)</f>
        <v>0</v>
      </c>
      <c r="O73" s="29" t="e">
        <f t="shared" si="39"/>
        <v>#DIV/0!</v>
      </c>
    </row>
    <row r="74" spans="2:15" ht="15.75">
      <c r="B74" s="22"/>
      <c r="C74" s="23"/>
      <c r="D74" s="24"/>
      <c r="E74" s="24" t="s">
        <v>33</v>
      </c>
      <c r="F74" s="25" t="s">
        <v>34</v>
      </c>
      <c r="G74" s="24"/>
      <c r="H74" s="26"/>
      <c r="I74" s="27">
        <v>0</v>
      </c>
      <c r="J74" s="28">
        <v>200000</v>
      </c>
      <c r="K74" s="28">
        <f t="shared" ref="K74:K75" si="44">I74*J74</f>
        <v>0</v>
      </c>
      <c r="L74" s="27">
        <f>'[1]L. MAT 09 STNKLBN'!H16</f>
        <v>0</v>
      </c>
      <c r="M74" s="28">
        <v>200000</v>
      </c>
      <c r="N74" s="28">
        <f t="shared" ref="N74:N75" si="45">L74*M74</f>
        <v>0</v>
      </c>
      <c r="O74" s="29" t="e">
        <f t="shared" si="39"/>
        <v>#DIV/0!</v>
      </c>
    </row>
    <row r="75" spans="2:15" ht="15.75">
      <c r="B75" s="22"/>
      <c r="C75" s="23"/>
      <c r="D75" s="24"/>
      <c r="E75" s="24" t="s">
        <v>35</v>
      </c>
      <c r="F75" s="25" t="s">
        <v>36</v>
      </c>
      <c r="G75" s="24"/>
      <c r="H75" s="26"/>
      <c r="I75" s="27">
        <v>0</v>
      </c>
      <c r="J75" s="28">
        <v>200000</v>
      </c>
      <c r="K75" s="28">
        <f t="shared" si="44"/>
        <v>0</v>
      </c>
      <c r="L75" s="27">
        <f>'[1]L. MAT 09 STNKLBN'!J16</f>
        <v>0</v>
      </c>
      <c r="M75" s="28">
        <v>200000</v>
      </c>
      <c r="N75" s="28">
        <f t="shared" si="45"/>
        <v>0</v>
      </c>
      <c r="O75" s="29" t="e">
        <f t="shared" si="39"/>
        <v>#DIV/0!</v>
      </c>
    </row>
    <row r="76" spans="2:15" ht="15.75">
      <c r="B76" s="51"/>
      <c r="C76" s="52"/>
      <c r="D76" s="53"/>
      <c r="E76" s="53"/>
      <c r="F76" s="54"/>
      <c r="G76" s="53"/>
      <c r="H76" s="55"/>
      <c r="I76" s="56"/>
      <c r="J76" s="68"/>
      <c r="K76" s="68"/>
      <c r="L76" s="56"/>
      <c r="M76" s="68"/>
      <c r="N76" s="68"/>
      <c r="O76" s="59"/>
    </row>
    <row r="77" spans="2:15" ht="15.75">
      <c r="B77" s="31"/>
      <c r="C77" s="32">
        <v>11</v>
      </c>
      <c r="D77" s="33" t="s">
        <v>48</v>
      </c>
      <c r="E77" s="42"/>
      <c r="F77" s="34"/>
      <c r="G77" s="34"/>
      <c r="H77" s="35"/>
      <c r="I77" s="36">
        <v>0</v>
      </c>
      <c r="J77" s="37"/>
      <c r="K77" s="38">
        <f t="shared" ref="K77:L77" si="46">K78+K81</f>
        <v>0</v>
      </c>
      <c r="L77" s="36">
        <f t="shared" si="46"/>
        <v>0</v>
      </c>
      <c r="M77" s="37"/>
      <c r="N77" s="38">
        <f>N78+N81</f>
        <v>0</v>
      </c>
      <c r="O77" s="39" t="e">
        <f t="shared" ref="O77:O83" si="47">N77/K77</f>
        <v>#DIV/0!</v>
      </c>
    </row>
    <row r="78" spans="2:15" ht="15.75">
      <c r="B78" s="22"/>
      <c r="C78" s="23"/>
      <c r="D78" s="47" t="s">
        <v>10</v>
      </c>
      <c r="E78" s="45" t="s">
        <v>46</v>
      </c>
      <c r="F78" s="24"/>
      <c r="G78" s="24"/>
      <c r="H78" s="26"/>
      <c r="I78" s="48">
        <v>0</v>
      </c>
      <c r="J78" s="49"/>
      <c r="K78" s="50">
        <f t="shared" ref="K78:L78" si="48">SUM(K79:K80)</f>
        <v>0</v>
      </c>
      <c r="L78" s="48">
        <f t="shared" si="48"/>
        <v>0</v>
      </c>
      <c r="M78" s="49"/>
      <c r="N78" s="50">
        <f>SUM(N79:N80)</f>
        <v>0</v>
      </c>
      <c r="O78" s="29" t="e">
        <f t="shared" si="47"/>
        <v>#DIV/0!</v>
      </c>
    </row>
    <row r="79" spans="2:15" ht="15.75">
      <c r="B79" s="22"/>
      <c r="C79" s="23"/>
      <c r="D79" s="24"/>
      <c r="E79" s="24" t="s">
        <v>33</v>
      </c>
      <c r="F79" s="25" t="s">
        <v>34</v>
      </c>
      <c r="G79" s="24"/>
      <c r="H79" s="26"/>
      <c r="I79" s="27">
        <v>0</v>
      </c>
      <c r="J79" s="28">
        <v>100000</v>
      </c>
      <c r="K79" s="28">
        <f t="shared" ref="K79:K80" si="49">I79*J79</f>
        <v>0</v>
      </c>
      <c r="L79" s="27">
        <f>'[1]L. MAT 10 TNKB LBN'!G16</f>
        <v>0</v>
      </c>
      <c r="M79" s="28">
        <v>100000</v>
      </c>
      <c r="N79" s="28">
        <f t="shared" ref="N79:N80" si="50">L79*M79</f>
        <v>0</v>
      </c>
      <c r="O79" s="29" t="e">
        <f t="shared" si="47"/>
        <v>#DIV/0!</v>
      </c>
    </row>
    <row r="80" spans="2:15" ht="15.75">
      <c r="B80" s="22"/>
      <c r="C80" s="23"/>
      <c r="D80" s="24"/>
      <c r="E80" s="24" t="s">
        <v>35</v>
      </c>
      <c r="F80" s="25" t="s">
        <v>36</v>
      </c>
      <c r="G80" s="24"/>
      <c r="H80" s="26"/>
      <c r="I80" s="27"/>
      <c r="J80" s="28">
        <v>100000</v>
      </c>
      <c r="K80" s="28">
        <f t="shared" si="49"/>
        <v>0</v>
      </c>
      <c r="L80" s="27">
        <f>'[1]L. MAT 10 TNKB LBN'!I16</f>
        <v>0</v>
      </c>
      <c r="M80" s="28">
        <v>100000</v>
      </c>
      <c r="N80" s="28">
        <f t="shared" si="50"/>
        <v>0</v>
      </c>
      <c r="O80" s="29" t="e">
        <f t="shared" si="47"/>
        <v>#DIV/0!</v>
      </c>
    </row>
    <row r="81" spans="2:15" ht="15.75">
      <c r="B81" s="22"/>
      <c r="C81" s="23"/>
      <c r="D81" s="47" t="s">
        <v>12</v>
      </c>
      <c r="E81" s="45" t="s">
        <v>40</v>
      </c>
      <c r="F81" s="24"/>
      <c r="G81" s="24"/>
      <c r="H81" s="26"/>
      <c r="I81" s="48">
        <v>0</v>
      </c>
      <c r="J81" s="49"/>
      <c r="K81" s="50">
        <f t="shared" ref="K81:L81" si="51">SUM(K82:K83)</f>
        <v>0</v>
      </c>
      <c r="L81" s="48">
        <f t="shared" si="51"/>
        <v>0</v>
      </c>
      <c r="M81" s="49"/>
      <c r="N81" s="50">
        <f>SUM(N82:N83)</f>
        <v>0</v>
      </c>
      <c r="O81" s="29" t="e">
        <f t="shared" si="47"/>
        <v>#DIV/0!</v>
      </c>
    </row>
    <row r="82" spans="2:15" ht="15.75">
      <c r="B82" s="22"/>
      <c r="C82" s="23"/>
      <c r="D82" s="24"/>
      <c r="E82" s="24" t="s">
        <v>33</v>
      </c>
      <c r="F82" s="25" t="s">
        <v>34</v>
      </c>
      <c r="G82" s="24"/>
      <c r="H82" s="26"/>
      <c r="I82" s="27">
        <v>0</v>
      </c>
      <c r="J82" s="28">
        <v>200000</v>
      </c>
      <c r="K82" s="28">
        <f t="shared" ref="K82:K83" si="52">I82*J82</f>
        <v>0</v>
      </c>
      <c r="L82" s="27">
        <f>'[1]L. MAT 10 TNKB LBN'!H16</f>
        <v>0</v>
      </c>
      <c r="M82" s="28">
        <v>200000</v>
      </c>
      <c r="N82" s="28">
        <f t="shared" ref="N82:N83" si="53">L82*M82</f>
        <v>0</v>
      </c>
      <c r="O82" s="29" t="e">
        <f t="shared" si="47"/>
        <v>#DIV/0!</v>
      </c>
    </row>
    <row r="83" spans="2:15" ht="15.75">
      <c r="B83" s="22"/>
      <c r="C83" s="23"/>
      <c r="D83" s="24"/>
      <c r="E83" s="24" t="s">
        <v>35</v>
      </c>
      <c r="F83" s="25" t="s">
        <v>36</v>
      </c>
      <c r="G83" s="24"/>
      <c r="H83" s="26"/>
      <c r="I83" s="27">
        <v>0</v>
      </c>
      <c r="J83" s="28">
        <v>200000</v>
      </c>
      <c r="K83" s="28">
        <f t="shared" si="52"/>
        <v>0</v>
      </c>
      <c r="L83" s="27">
        <f>'[1]L. MAT 10 TNKB LBN'!J16</f>
        <v>0</v>
      </c>
      <c r="M83" s="28">
        <v>200000</v>
      </c>
      <c r="N83" s="28">
        <f t="shared" si="53"/>
        <v>0</v>
      </c>
      <c r="O83" s="29" t="e">
        <f t="shared" si="47"/>
        <v>#DIV/0!</v>
      </c>
    </row>
    <row r="84" spans="2:15" ht="15.75">
      <c r="B84" s="22"/>
      <c r="C84" s="23"/>
      <c r="D84" s="24"/>
      <c r="E84" s="25"/>
      <c r="F84" s="24"/>
      <c r="G84" s="24"/>
      <c r="H84" s="26"/>
      <c r="I84" s="27"/>
      <c r="J84" s="49"/>
      <c r="K84" s="41"/>
      <c r="L84" s="27"/>
      <c r="M84" s="49"/>
      <c r="N84" s="41"/>
      <c r="O84" s="29"/>
    </row>
    <row r="85" spans="2:15" ht="15.75">
      <c r="B85" s="31"/>
      <c r="C85" s="32">
        <v>12</v>
      </c>
      <c r="D85" s="33" t="s">
        <v>49</v>
      </c>
      <c r="E85" s="42"/>
      <c r="F85" s="42"/>
      <c r="G85" s="42"/>
      <c r="H85" s="35"/>
      <c r="I85" s="36">
        <v>12000</v>
      </c>
      <c r="J85" s="37"/>
      <c r="K85" s="38">
        <f t="shared" ref="K85:L85" si="54">+K86+K89+K92+K95</f>
        <v>99500000000</v>
      </c>
      <c r="L85" s="36">
        <f t="shared" si="54"/>
        <v>510</v>
      </c>
      <c r="M85" s="37"/>
      <c r="N85" s="38">
        <f>+N86+N89+N92+N95</f>
        <v>4522500000</v>
      </c>
      <c r="O85" s="39">
        <f t="shared" ref="O85:O97" si="55">N85/K85</f>
        <v>4.5452261306532661E-2</v>
      </c>
    </row>
    <row r="86" spans="2:15" ht="15.75">
      <c r="B86" s="22"/>
      <c r="C86" s="23"/>
      <c r="D86" s="47" t="s">
        <v>10</v>
      </c>
      <c r="E86" s="45" t="s">
        <v>50</v>
      </c>
      <c r="F86" s="24"/>
      <c r="G86" s="24"/>
      <c r="H86" s="26"/>
      <c r="I86" s="48">
        <v>1053</v>
      </c>
      <c r="J86" s="49"/>
      <c r="K86" s="50">
        <f t="shared" ref="K86:L86" si="56">SUM(K87:K88)</f>
        <v>16585000000</v>
      </c>
      <c r="L86" s="48">
        <f t="shared" si="56"/>
        <v>53</v>
      </c>
      <c r="M86" s="49"/>
      <c r="N86" s="50">
        <f>SUM(N87:N88)</f>
        <v>800000000</v>
      </c>
      <c r="O86" s="29">
        <f t="shared" si="55"/>
        <v>4.8236358154959302E-2</v>
      </c>
    </row>
    <row r="87" spans="2:15" ht="15.75">
      <c r="B87" s="22"/>
      <c r="C87" s="23"/>
      <c r="D87" s="24"/>
      <c r="E87" s="24" t="s">
        <v>33</v>
      </c>
      <c r="F87" s="25" t="s">
        <v>51</v>
      </c>
      <c r="G87" s="24"/>
      <c r="H87" s="26"/>
      <c r="I87" s="27">
        <v>158</v>
      </c>
      <c r="J87" s="28">
        <v>20000000</v>
      </c>
      <c r="K87" s="28">
        <f t="shared" ref="K87:K88" si="57">I87*J87</f>
        <v>3160000000</v>
      </c>
      <c r="L87" s="27">
        <v>1</v>
      </c>
      <c r="M87" s="28">
        <v>20000000</v>
      </c>
      <c r="N87" s="28">
        <f t="shared" ref="N87:N88" si="58">L87*M87</f>
        <v>20000000</v>
      </c>
      <c r="O87" s="29">
        <f t="shared" si="55"/>
        <v>6.3291139240506328E-3</v>
      </c>
    </row>
    <row r="88" spans="2:15" ht="15.75">
      <c r="B88" s="22"/>
      <c r="C88" s="23"/>
      <c r="D88" s="24"/>
      <c r="E88" s="24" t="s">
        <v>35</v>
      </c>
      <c r="F88" s="25" t="s">
        <v>52</v>
      </c>
      <c r="G88" s="24"/>
      <c r="H88" s="26"/>
      <c r="I88" s="27">
        <v>895</v>
      </c>
      <c r="J88" s="28">
        <v>15000000</v>
      </c>
      <c r="K88" s="28">
        <f t="shared" si="57"/>
        <v>13425000000</v>
      </c>
      <c r="L88" s="27">
        <v>52</v>
      </c>
      <c r="M88" s="28">
        <v>15000000</v>
      </c>
      <c r="N88" s="28">
        <f t="shared" si="58"/>
        <v>780000000</v>
      </c>
      <c r="O88" s="29">
        <f t="shared" si="55"/>
        <v>5.8100558659217878E-2</v>
      </c>
    </row>
    <row r="89" spans="2:15" ht="15.75">
      <c r="B89" s="22"/>
      <c r="C89" s="23"/>
      <c r="D89" s="47" t="s">
        <v>12</v>
      </c>
      <c r="E89" s="45" t="s">
        <v>53</v>
      </c>
      <c r="F89" s="24"/>
      <c r="G89" s="24"/>
      <c r="H89" s="26"/>
      <c r="I89" s="48">
        <v>2383</v>
      </c>
      <c r="J89" s="49"/>
      <c r="K89" s="50">
        <f t="shared" ref="K89:L89" si="59">SUM(K90:K91)</f>
        <v>25435000000</v>
      </c>
      <c r="L89" s="48">
        <f t="shared" si="59"/>
        <v>125</v>
      </c>
      <c r="M89" s="49"/>
      <c r="N89" s="50">
        <f>SUM(N90:N91)</f>
        <v>1295000000</v>
      </c>
      <c r="O89" s="29">
        <f t="shared" si="55"/>
        <v>5.091409475132691E-2</v>
      </c>
    </row>
    <row r="90" spans="2:15" ht="15.75">
      <c r="B90" s="22"/>
      <c r="C90" s="23"/>
      <c r="D90" s="24"/>
      <c r="E90" s="24" t="s">
        <v>33</v>
      </c>
      <c r="F90" s="25" t="s">
        <v>51</v>
      </c>
      <c r="G90" s="24"/>
      <c r="H90" s="26"/>
      <c r="I90" s="27">
        <v>321</v>
      </c>
      <c r="J90" s="28">
        <v>15000000</v>
      </c>
      <c r="K90" s="28">
        <f t="shared" ref="K90:K91" si="60">I90*J90</f>
        <v>4815000000</v>
      </c>
      <c r="L90" s="27">
        <v>9</v>
      </c>
      <c r="M90" s="28">
        <v>15000000</v>
      </c>
      <c r="N90" s="28">
        <f t="shared" ref="N90:N91" si="61">L90*M90</f>
        <v>135000000</v>
      </c>
      <c r="O90" s="29">
        <f t="shared" si="55"/>
        <v>2.8037383177570093E-2</v>
      </c>
    </row>
    <row r="91" spans="2:15" ht="15">
      <c r="B91" s="69"/>
      <c r="C91" s="70"/>
      <c r="D91" s="25"/>
      <c r="E91" s="24" t="s">
        <v>35</v>
      </c>
      <c r="F91" s="25" t="s">
        <v>52</v>
      </c>
      <c r="G91" s="25"/>
      <c r="H91" s="71"/>
      <c r="I91" s="27">
        <v>2062</v>
      </c>
      <c r="J91" s="28">
        <v>10000000</v>
      </c>
      <c r="K91" s="28">
        <f t="shared" si="60"/>
        <v>20620000000</v>
      </c>
      <c r="L91" s="27">
        <v>116</v>
      </c>
      <c r="M91" s="28">
        <v>10000000</v>
      </c>
      <c r="N91" s="28">
        <f t="shared" si="61"/>
        <v>1160000000</v>
      </c>
      <c r="O91" s="29">
        <f t="shared" si="55"/>
        <v>5.6256062075654707E-2</v>
      </c>
    </row>
    <row r="92" spans="2:15" ht="15.75">
      <c r="B92" s="69"/>
      <c r="C92" s="70"/>
      <c r="D92" s="47" t="s">
        <v>14</v>
      </c>
      <c r="E92" s="45" t="s">
        <v>54</v>
      </c>
      <c r="F92" s="25"/>
      <c r="G92" s="25"/>
      <c r="H92" s="71"/>
      <c r="I92" s="48">
        <v>4609</v>
      </c>
      <c r="J92" s="28"/>
      <c r="K92" s="50">
        <f t="shared" ref="K92:L92" si="62">SUM(K93:K94)</f>
        <v>35915000000</v>
      </c>
      <c r="L92" s="48">
        <f t="shared" si="62"/>
        <v>259</v>
      </c>
      <c r="M92" s="28"/>
      <c r="N92" s="50">
        <f>SUM(N93:N94)</f>
        <v>1990000000</v>
      </c>
      <c r="O92" s="29">
        <f t="shared" si="55"/>
        <v>5.5408603647501047E-2</v>
      </c>
    </row>
    <row r="93" spans="2:15" ht="15">
      <c r="B93" s="69"/>
      <c r="C93" s="70"/>
      <c r="D93" s="24"/>
      <c r="E93" s="24" t="s">
        <v>33</v>
      </c>
      <c r="F93" s="25" t="s">
        <v>51</v>
      </c>
      <c r="G93" s="25"/>
      <c r="H93" s="71"/>
      <c r="I93" s="27">
        <v>539</v>
      </c>
      <c r="J93" s="28">
        <v>10000000</v>
      </c>
      <c r="K93" s="28">
        <f t="shared" ref="K93:K94" si="63">I93*J93</f>
        <v>5390000000</v>
      </c>
      <c r="L93" s="27">
        <v>19</v>
      </c>
      <c r="M93" s="28">
        <v>10000000</v>
      </c>
      <c r="N93" s="28">
        <f t="shared" ref="N93:N94" si="64">L93*M93</f>
        <v>190000000</v>
      </c>
      <c r="O93" s="29">
        <f t="shared" si="55"/>
        <v>3.525046382189239E-2</v>
      </c>
    </row>
    <row r="94" spans="2:15" ht="15">
      <c r="B94" s="69"/>
      <c r="C94" s="70"/>
      <c r="D94" s="24"/>
      <c r="E94" s="24" t="s">
        <v>35</v>
      </c>
      <c r="F94" s="25" t="s">
        <v>52</v>
      </c>
      <c r="G94" s="25"/>
      <c r="H94" s="71"/>
      <c r="I94" s="27">
        <v>4070</v>
      </c>
      <c r="J94" s="28">
        <v>7500000</v>
      </c>
      <c r="K94" s="28">
        <f t="shared" si="63"/>
        <v>30525000000</v>
      </c>
      <c r="L94" s="27">
        <v>240</v>
      </c>
      <c r="M94" s="28">
        <v>7500000</v>
      </c>
      <c r="N94" s="28">
        <f t="shared" si="64"/>
        <v>1800000000</v>
      </c>
      <c r="O94" s="29">
        <f t="shared" si="55"/>
        <v>5.896805896805897E-2</v>
      </c>
    </row>
    <row r="95" spans="2:15" ht="15.75">
      <c r="B95" s="69"/>
      <c r="C95" s="70"/>
      <c r="D95" s="47" t="s">
        <v>16</v>
      </c>
      <c r="E95" s="45" t="s">
        <v>55</v>
      </c>
      <c r="F95" s="25"/>
      <c r="G95" s="25"/>
      <c r="H95" s="71"/>
      <c r="I95" s="48">
        <v>3955</v>
      </c>
      <c r="J95" s="28"/>
      <c r="K95" s="50">
        <f t="shared" ref="K95:L95" si="65">SUM(K96:K97)</f>
        <v>21565000000</v>
      </c>
      <c r="L95" s="48">
        <f t="shared" si="65"/>
        <v>73</v>
      </c>
      <c r="M95" s="28"/>
      <c r="N95" s="50">
        <f>SUM(N96:N97)</f>
        <v>437500000</v>
      </c>
      <c r="O95" s="29">
        <f t="shared" si="55"/>
        <v>2.0287502898214699E-2</v>
      </c>
    </row>
    <row r="96" spans="2:15" ht="15">
      <c r="B96" s="69"/>
      <c r="C96" s="70"/>
      <c r="D96" s="25"/>
      <c r="E96" s="24" t="s">
        <v>33</v>
      </c>
      <c r="F96" s="25" t="s">
        <v>51</v>
      </c>
      <c r="G96" s="25"/>
      <c r="H96" s="71"/>
      <c r="I96" s="27">
        <v>716</v>
      </c>
      <c r="J96" s="28">
        <v>7500000</v>
      </c>
      <c r="K96" s="28">
        <f t="shared" ref="K96:K97" si="66">I96*J96</f>
        <v>5370000000</v>
      </c>
      <c r="L96" s="27">
        <v>29</v>
      </c>
      <c r="M96" s="28">
        <v>7500000</v>
      </c>
      <c r="N96" s="28">
        <f t="shared" ref="N96:N97" si="67">L96*M96</f>
        <v>217500000</v>
      </c>
      <c r="O96" s="29">
        <f t="shared" si="55"/>
        <v>4.0502793296089384E-2</v>
      </c>
    </row>
    <row r="97" spans="2:15" ht="15">
      <c r="B97" s="69"/>
      <c r="C97" s="70"/>
      <c r="D97" s="25"/>
      <c r="E97" s="24" t="s">
        <v>35</v>
      </c>
      <c r="F97" s="25" t="s">
        <v>52</v>
      </c>
      <c r="G97" s="25"/>
      <c r="H97" s="71"/>
      <c r="I97" s="27">
        <v>3239</v>
      </c>
      <c r="J97" s="28">
        <v>5000000</v>
      </c>
      <c r="K97" s="28">
        <f t="shared" si="66"/>
        <v>16195000000</v>
      </c>
      <c r="L97" s="27">
        <v>44</v>
      </c>
      <c r="M97" s="28">
        <v>5000000</v>
      </c>
      <c r="N97" s="28">
        <f t="shared" si="67"/>
        <v>220000000</v>
      </c>
      <c r="O97" s="29">
        <f t="shared" si="55"/>
        <v>1.3584439641864773E-2</v>
      </c>
    </row>
    <row r="98" spans="2:15" ht="15">
      <c r="B98" s="72"/>
      <c r="C98" s="73"/>
      <c r="D98" s="74"/>
      <c r="E98" s="74"/>
      <c r="F98" s="74"/>
      <c r="G98" s="74"/>
      <c r="H98" s="75"/>
      <c r="I98" s="76"/>
      <c r="J98" s="77"/>
      <c r="K98" s="78"/>
      <c r="L98" s="76"/>
      <c r="M98" s="77"/>
      <c r="N98" s="78"/>
      <c r="O98" s="79"/>
    </row>
    <row r="99" spans="2:15" ht="15.75">
      <c r="B99" s="80"/>
      <c r="C99" s="105" t="s">
        <v>56</v>
      </c>
      <c r="D99" s="103"/>
      <c r="E99" s="103"/>
      <c r="F99" s="103"/>
      <c r="G99" s="103"/>
      <c r="H99" s="104"/>
      <c r="I99" s="81">
        <f>SUM(I13,I24,I35,I37,I45,I49,I53,I57,I65,I69,I77,I85)</f>
        <v>19337001</v>
      </c>
      <c r="J99" s="81"/>
      <c r="K99" s="81">
        <f>SUM(K13,K24,K35,K37,K45,K49,K53,K57,K65,K69,K77,K85)</f>
        <v>2210588370000</v>
      </c>
      <c r="L99" s="81">
        <f>SUM(L13,L24,L35,L37,L45,L49,L53,L57,L65,L69,L77,L85)</f>
        <v>888373</v>
      </c>
      <c r="M99" s="81"/>
      <c r="N99" s="81">
        <f>SUM(N13,N24,N35,N37,N45,N49,N53,N57,N65,N69,N77,N85)</f>
        <v>99639425000</v>
      </c>
      <c r="O99" s="82">
        <f>N99/K99</f>
        <v>4.5073712660489568E-2</v>
      </c>
    </row>
    <row r="100" spans="2:15" ht="15.75">
      <c r="B100" s="83"/>
      <c r="C100" s="84"/>
      <c r="D100" s="84"/>
      <c r="E100" s="84"/>
      <c r="F100" s="84"/>
      <c r="G100" s="84"/>
      <c r="H100" s="84"/>
      <c r="I100" s="85"/>
      <c r="J100" s="84"/>
      <c r="K100" s="84"/>
      <c r="L100" s="85"/>
      <c r="M100" s="84"/>
      <c r="N100" s="86"/>
      <c r="O100" s="87"/>
    </row>
    <row r="101" spans="2:15" ht="15.75">
      <c r="B101" s="83"/>
      <c r="C101" s="88"/>
      <c r="D101" s="84"/>
      <c r="E101" s="84"/>
      <c r="F101" s="84"/>
      <c r="G101" s="84"/>
      <c r="H101" s="84"/>
      <c r="I101" s="84"/>
      <c r="J101" s="84"/>
      <c r="K101" s="84"/>
      <c r="L101" s="84"/>
      <c r="M101" s="106"/>
      <c r="N101" s="100"/>
      <c r="O101" s="100"/>
    </row>
    <row r="102" spans="2:15" ht="15.75">
      <c r="B102" s="101"/>
      <c r="C102" s="100"/>
      <c r="D102" s="100"/>
      <c r="E102" s="100"/>
      <c r="F102" s="100"/>
      <c r="G102" s="84"/>
      <c r="H102" s="84"/>
      <c r="I102" s="84"/>
      <c r="J102" s="84"/>
      <c r="K102" s="84"/>
      <c r="L102" s="84"/>
      <c r="M102" s="101"/>
      <c r="N102" s="100"/>
      <c r="O102" s="100"/>
    </row>
    <row r="103" spans="2:15" ht="15.75">
      <c r="B103" s="89"/>
      <c r="C103" s="89"/>
      <c r="D103" s="89"/>
      <c r="E103" s="84"/>
      <c r="F103" s="84"/>
      <c r="G103" s="84"/>
      <c r="H103" s="84"/>
      <c r="I103" s="86"/>
      <c r="J103" s="86"/>
      <c r="K103" s="86"/>
      <c r="L103" s="86"/>
      <c r="M103" s="89"/>
      <c r="N103" s="89"/>
      <c r="O103" s="89"/>
    </row>
    <row r="104" spans="2:15" ht="15.75">
      <c r="B104" s="101"/>
      <c r="C104" s="100"/>
      <c r="D104" s="100"/>
      <c r="E104" s="100"/>
      <c r="F104" s="100"/>
      <c r="G104" s="84"/>
      <c r="H104" s="84"/>
      <c r="I104" s="84"/>
      <c r="J104" s="84"/>
      <c r="K104" s="84"/>
      <c r="L104" s="84"/>
      <c r="M104" s="101"/>
      <c r="N104" s="100"/>
      <c r="O104" s="100"/>
    </row>
    <row r="105" spans="2:15" ht="15.75">
      <c r="B105" s="89"/>
      <c r="C105" s="89"/>
      <c r="D105" s="89"/>
      <c r="E105" s="84"/>
      <c r="F105" s="84"/>
      <c r="G105" s="84"/>
      <c r="H105" s="84"/>
      <c r="I105" s="84"/>
      <c r="J105" s="84"/>
      <c r="K105" s="84"/>
      <c r="L105" s="84"/>
      <c r="M105" s="89"/>
      <c r="N105" s="89"/>
      <c r="O105" s="89"/>
    </row>
    <row r="106" spans="2:15" ht="15.75">
      <c r="B106" s="99"/>
      <c r="C106" s="100"/>
      <c r="D106" s="100"/>
      <c r="E106" s="100"/>
      <c r="F106" s="100"/>
      <c r="G106" s="84"/>
      <c r="H106" s="84"/>
      <c r="I106" s="84"/>
      <c r="J106" s="84"/>
      <c r="K106" s="84"/>
      <c r="L106" s="84"/>
      <c r="M106" s="99"/>
      <c r="N106" s="100"/>
      <c r="O106" s="100"/>
    </row>
    <row r="107" spans="2:15" ht="15.75">
      <c r="B107" s="101"/>
      <c r="C107" s="100"/>
      <c r="D107" s="100"/>
      <c r="E107" s="100"/>
      <c r="F107" s="100"/>
      <c r="G107" s="84"/>
      <c r="H107" s="84"/>
      <c r="I107" s="84"/>
      <c r="J107" s="84"/>
      <c r="K107" s="84"/>
      <c r="L107" s="84"/>
      <c r="M107" s="101"/>
      <c r="N107" s="100"/>
      <c r="O107" s="100"/>
    </row>
  </sheetData>
  <mergeCells count="20">
    <mergeCell ref="B2:G5"/>
    <mergeCell ref="B6:O6"/>
    <mergeCell ref="B7:O7"/>
    <mergeCell ref="B9:H9"/>
    <mergeCell ref="B10:B11"/>
    <mergeCell ref="C10:H11"/>
    <mergeCell ref="I10:K10"/>
    <mergeCell ref="L10:N10"/>
    <mergeCell ref="O10:O11"/>
    <mergeCell ref="B106:F106"/>
    <mergeCell ref="M106:O106"/>
    <mergeCell ref="B107:F107"/>
    <mergeCell ref="M107:O107"/>
    <mergeCell ref="C12:H12"/>
    <mergeCell ref="C99:H99"/>
    <mergeCell ref="M101:O101"/>
    <mergeCell ref="B102:F102"/>
    <mergeCell ref="M102:O102"/>
    <mergeCell ref="B104:F104"/>
    <mergeCell ref="M104:O10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7"/>
  <sheetViews>
    <sheetView tabSelected="1" topLeftCell="B43" workbookViewId="0">
      <selection activeCell="N93" sqref="N93"/>
    </sheetView>
  </sheetViews>
  <sheetFormatPr defaultRowHeight="14.25"/>
  <cols>
    <col min="2" max="2" width="5.875" customWidth="1"/>
    <col min="3" max="10" width="16.125" customWidth="1"/>
    <col min="11" max="11" width="26.25" customWidth="1"/>
    <col min="12" max="13" width="16.125" customWidth="1"/>
    <col min="14" max="14" width="20.75" customWidth="1"/>
    <col min="15" max="15" width="16.125" customWidth="1"/>
  </cols>
  <sheetData>
    <row r="1" spans="2:15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2:15" ht="15">
      <c r="B2" s="107"/>
      <c r="C2" s="108"/>
      <c r="D2" s="108"/>
      <c r="E2" s="108"/>
      <c r="F2" s="108"/>
      <c r="G2" s="108"/>
      <c r="H2" s="3"/>
      <c r="I2" s="3"/>
      <c r="J2" s="3"/>
      <c r="K2" s="3"/>
      <c r="L2" s="3"/>
      <c r="M2" s="3"/>
      <c r="N2" s="3"/>
      <c r="O2" s="4"/>
    </row>
    <row r="3" spans="2:15" ht="15">
      <c r="B3" s="108"/>
      <c r="C3" s="100"/>
      <c r="D3" s="100"/>
      <c r="E3" s="100"/>
      <c r="F3" s="100"/>
      <c r="G3" s="108"/>
      <c r="H3" s="3"/>
      <c r="I3" s="3"/>
      <c r="J3" s="3"/>
      <c r="K3" s="3"/>
      <c r="L3" s="3"/>
      <c r="M3" s="3"/>
      <c r="N3" s="3"/>
      <c r="O3" s="4"/>
    </row>
    <row r="4" spans="2:15" ht="15.75">
      <c r="B4" s="108"/>
      <c r="C4" s="100"/>
      <c r="D4" s="100"/>
      <c r="E4" s="100"/>
      <c r="F4" s="100"/>
      <c r="G4" s="108"/>
      <c r="H4" s="5"/>
      <c r="I4" s="3"/>
      <c r="J4" s="6"/>
      <c r="K4" s="7"/>
      <c r="L4" s="3"/>
      <c r="M4" s="6"/>
      <c r="N4" s="7"/>
      <c r="O4" s="4"/>
    </row>
    <row r="5" spans="2:15" ht="15.75">
      <c r="B5" s="108"/>
      <c r="C5" s="108"/>
      <c r="D5" s="108"/>
      <c r="E5" s="108"/>
      <c r="F5" s="108"/>
      <c r="G5" s="108"/>
      <c r="H5" s="5"/>
      <c r="I5" s="5"/>
      <c r="J5" s="8"/>
      <c r="K5" s="6"/>
      <c r="L5" s="5"/>
      <c r="M5" s="8"/>
      <c r="N5" s="6"/>
      <c r="O5" s="4"/>
    </row>
    <row r="6" spans="2:15" ht="15.75">
      <c r="B6" s="109" t="s">
        <v>57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</row>
    <row r="7" spans="2:15" ht="15.75">
      <c r="B7" s="110" t="s">
        <v>66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</row>
    <row r="8" spans="2:15" ht="15.7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ht="15.75">
      <c r="B9" s="111"/>
      <c r="C9" s="108"/>
      <c r="D9" s="108"/>
      <c r="E9" s="108"/>
      <c r="F9" s="108"/>
      <c r="G9" s="108"/>
      <c r="H9" s="108"/>
      <c r="I9" s="11"/>
      <c r="J9" s="9"/>
      <c r="K9" s="11"/>
      <c r="L9" s="11"/>
      <c r="M9" s="9"/>
      <c r="N9" s="11"/>
      <c r="O9" s="4"/>
    </row>
    <row r="10" spans="2:15" ht="15.75">
      <c r="B10" s="112" t="s">
        <v>0</v>
      </c>
      <c r="C10" s="114" t="s">
        <v>1</v>
      </c>
      <c r="D10" s="115"/>
      <c r="E10" s="115"/>
      <c r="F10" s="115"/>
      <c r="G10" s="115"/>
      <c r="H10" s="116"/>
      <c r="I10" s="120" t="s">
        <v>2</v>
      </c>
      <c r="J10" s="103"/>
      <c r="K10" s="104"/>
      <c r="L10" s="120" t="s">
        <v>3</v>
      </c>
      <c r="M10" s="103"/>
      <c r="N10" s="104"/>
      <c r="O10" s="121" t="s">
        <v>4</v>
      </c>
    </row>
    <row r="11" spans="2:15" ht="15.75">
      <c r="B11" s="113"/>
      <c r="C11" s="117"/>
      <c r="D11" s="118"/>
      <c r="E11" s="118"/>
      <c r="F11" s="118"/>
      <c r="G11" s="118"/>
      <c r="H11" s="119"/>
      <c r="I11" s="12" t="s">
        <v>5</v>
      </c>
      <c r="J11" s="12" t="s">
        <v>6</v>
      </c>
      <c r="K11" s="12" t="s">
        <v>7</v>
      </c>
      <c r="L11" s="12" t="s">
        <v>5</v>
      </c>
      <c r="M11" s="12" t="s">
        <v>6</v>
      </c>
      <c r="N11" s="12" t="s">
        <v>8</v>
      </c>
      <c r="O11" s="122"/>
    </row>
    <row r="12" spans="2:15" ht="15.75">
      <c r="B12" s="12">
        <v>1</v>
      </c>
      <c r="C12" s="102">
        <v>2</v>
      </c>
      <c r="D12" s="103"/>
      <c r="E12" s="103"/>
      <c r="F12" s="103"/>
      <c r="G12" s="103"/>
      <c r="H12" s="104"/>
      <c r="I12" s="12">
        <v>3</v>
      </c>
      <c r="J12" s="12">
        <v>4</v>
      </c>
      <c r="K12" s="12">
        <v>5</v>
      </c>
      <c r="L12" s="12">
        <v>3</v>
      </c>
      <c r="M12" s="12">
        <v>4</v>
      </c>
      <c r="N12" s="12">
        <v>5</v>
      </c>
      <c r="O12" s="12">
        <v>6</v>
      </c>
    </row>
    <row r="13" spans="2:15" ht="15.75">
      <c r="B13" s="13"/>
      <c r="C13" s="14">
        <v>1</v>
      </c>
      <c r="D13" s="15" t="s">
        <v>9</v>
      </c>
      <c r="E13" s="16"/>
      <c r="F13" s="16"/>
      <c r="G13" s="16"/>
      <c r="H13" s="17"/>
      <c r="I13" s="18">
        <v>1002980</v>
      </c>
      <c r="J13" s="19"/>
      <c r="K13" s="20">
        <f t="shared" ref="K13:L13" si="0">SUM(K14:K22)</f>
        <v>106956030000</v>
      </c>
      <c r="L13" s="18">
        <f t="shared" si="0"/>
        <v>31199</v>
      </c>
      <c r="M13" s="19"/>
      <c r="N13" s="20">
        <f>SUM(N14:N22)</f>
        <v>3378890000</v>
      </c>
      <c r="O13" s="21">
        <f t="shared" ref="O13:O22" si="1">N13/K13</f>
        <v>3.1591393210836267E-2</v>
      </c>
    </row>
    <row r="14" spans="2:15" ht="15.75">
      <c r="B14" s="22"/>
      <c r="C14" s="23"/>
      <c r="D14" s="24" t="s">
        <v>10</v>
      </c>
      <c r="E14" s="25" t="s">
        <v>11</v>
      </c>
      <c r="F14" s="24"/>
      <c r="G14" s="24"/>
      <c r="H14" s="26"/>
      <c r="I14" s="27">
        <v>294130</v>
      </c>
      <c r="J14" s="28">
        <v>120000</v>
      </c>
      <c r="K14" s="28">
        <f t="shared" ref="K14:K22" si="2">I14*J14</f>
        <v>35295600000</v>
      </c>
      <c r="L14" s="27">
        <v>11098</v>
      </c>
      <c r="M14" s="28">
        <v>120000</v>
      </c>
      <c r="N14" s="28">
        <f t="shared" ref="N14:N22" si="3">L14*M14</f>
        <v>1331760000</v>
      </c>
      <c r="O14" s="29">
        <f t="shared" si="1"/>
        <v>3.773161527215857E-2</v>
      </c>
    </row>
    <row r="15" spans="2:15" ht="15.75">
      <c r="B15" s="22"/>
      <c r="C15" s="23"/>
      <c r="D15" s="24" t="s">
        <v>12</v>
      </c>
      <c r="E15" s="25" t="s">
        <v>13</v>
      </c>
      <c r="F15" s="24"/>
      <c r="G15" s="24"/>
      <c r="H15" s="26"/>
      <c r="I15" s="27">
        <v>30304</v>
      </c>
      <c r="J15" s="28">
        <v>120000</v>
      </c>
      <c r="K15" s="28">
        <f t="shared" si="2"/>
        <v>3636480000</v>
      </c>
      <c r="L15" s="27">
        <v>1341</v>
      </c>
      <c r="M15" s="28">
        <v>120000</v>
      </c>
      <c r="N15" s="28">
        <f t="shared" si="3"/>
        <v>160920000</v>
      </c>
      <c r="O15" s="29">
        <f t="shared" si="1"/>
        <v>4.4251583949313625E-2</v>
      </c>
    </row>
    <row r="16" spans="2:15" ht="15.75">
      <c r="B16" s="22"/>
      <c r="C16" s="23"/>
      <c r="D16" s="24" t="s">
        <v>14</v>
      </c>
      <c r="E16" s="25" t="s">
        <v>15</v>
      </c>
      <c r="F16" s="24"/>
      <c r="G16" s="24"/>
      <c r="H16" s="26"/>
      <c r="I16" s="27">
        <v>13370</v>
      </c>
      <c r="J16" s="28">
        <v>120000</v>
      </c>
      <c r="K16" s="28">
        <f t="shared" si="2"/>
        <v>1604400000</v>
      </c>
      <c r="L16" s="27">
        <v>518</v>
      </c>
      <c r="M16" s="28">
        <v>120000</v>
      </c>
      <c r="N16" s="28">
        <f t="shared" si="3"/>
        <v>62160000</v>
      </c>
      <c r="O16" s="29">
        <f t="shared" si="1"/>
        <v>3.8743455497382201E-2</v>
      </c>
    </row>
    <row r="17" spans="2:15" ht="15.75">
      <c r="B17" s="22"/>
      <c r="C17" s="23"/>
      <c r="D17" s="24" t="s">
        <v>16</v>
      </c>
      <c r="E17" s="25" t="s">
        <v>17</v>
      </c>
      <c r="F17" s="24"/>
      <c r="G17" s="24"/>
      <c r="H17" s="26"/>
      <c r="I17" s="27">
        <v>662649</v>
      </c>
      <c r="J17" s="28">
        <v>100000</v>
      </c>
      <c r="K17" s="28">
        <f t="shared" si="2"/>
        <v>66264900000</v>
      </c>
      <c r="L17" s="27">
        <v>18237</v>
      </c>
      <c r="M17" s="28">
        <v>100000</v>
      </c>
      <c r="N17" s="28">
        <f t="shared" si="3"/>
        <v>1823700000</v>
      </c>
      <c r="O17" s="29">
        <f t="shared" si="1"/>
        <v>2.7521357460737132E-2</v>
      </c>
    </row>
    <row r="18" spans="2:15" ht="15.75">
      <c r="B18" s="22"/>
      <c r="C18" s="23"/>
      <c r="D18" s="24" t="s">
        <v>18</v>
      </c>
      <c r="E18" s="25" t="s">
        <v>19</v>
      </c>
      <c r="F18" s="24"/>
      <c r="G18" s="24"/>
      <c r="H18" s="26"/>
      <c r="I18" s="27">
        <v>299</v>
      </c>
      <c r="J18" s="28">
        <v>100000</v>
      </c>
      <c r="K18" s="28">
        <f t="shared" si="2"/>
        <v>29900000</v>
      </c>
      <c r="L18" s="27">
        <v>2</v>
      </c>
      <c r="M18" s="28">
        <v>100000</v>
      </c>
      <c r="N18" s="28">
        <f t="shared" si="3"/>
        <v>200000</v>
      </c>
      <c r="O18" s="29">
        <f t="shared" si="1"/>
        <v>6.688963210702341E-3</v>
      </c>
    </row>
    <row r="19" spans="2:15" ht="15.75">
      <c r="B19" s="22"/>
      <c r="C19" s="23"/>
      <c r="D19" s="24" t="s">
        <v>20</v>
      </c>
      <c r="E19" s="25" t="s">
        <v>21</v>
      </c>
      <c r="F19" s="24"/>
      <c r="G19" s="24"/>
      <c r="H19" s="26"/>
      <c r="I19" s="27">
        <v>267</v>
      </c>
      <c r="J19" s="28">
        <v>100000</v>
      </c>
      <c r="K19" s="28">
        <f t="shared" si="2"/>
        <v>26700000</v>
      </c>
      <c r="L19" s="27">
        <v>0</v>
      </c>
      <c r="M19" s="28">
        <v>100000</v>
      </c>
      <c r="N19" s="28">
        <f t="shared" si="3"/>
        <v>0</v>
      </c>
      <c r="O19" s="29">
        <f t="shared" si="1"/>
        <v>0</v>
      </c>
    </row>
    <row r="20" spans="2:15" ht="15.75">
      <c r="B20" s="22"/>
      <c r="C20" s="23"/>
      <c r="D20" s="24" t="s">
        <v>22</v>
      </c>
      <c r="E20" s="25" t="s">
        <v>23</v>
      </c>
      <c r="F20" s="24"/>
      <c r="G20" s="24"/>
      <c r="H20" s="26"/>
      <c r="I20" s="27">
        <v>1925</v>
      </c>
      <c r="J20" s="28">
        <v>50000</v>
      </c>
      <c r="K20" s="28">
        <f t="shared" si="2"/>
        <v>96250000</v>
      </c>
      <c r="L20" s="27">
        <v>3</v>
      </c>
      <c r="M20" s="28">
        <v>50000</v>
      </c>
      <c r="N20" s="28">
        <f t="shared" si="3"/>
        <v>150000</v>
      </c>
      <c r="O20" s="29">
        <f t="shared" si="1"/>
        <v>1.5584415584415584E-3</v>
      </c>
    </row>
    <row r="21" spans="2:15" ht="15.75">
      <c r="B21" s="22"/>
      <c r="C21" s="23"/>
      <c r="D21" s="24" t="s">
        <v>24</v>
      </c>
      <c r="E21" s="25" t="s">
        <v>25</v>
      </c>
      <c r="F21" s="24"/>
      <c r="G21" s="24"/>
      <c r="H21" s="26"/>
      <c r="I21" s="27">
        <v>36</v>
      </c>
      <c r="J21" s="28">
        <v>50000</v>
      </c>
      <c r="K21" s="28">
        <f t="shared" si="2"/>
        <v>1800000</v>
      </c>
      <c r="L21" s="27">
        <v>0</v>
      </c>
      <c r="M21" s="28">
        <v>50000</v>
      </c>
      <c r="N21" s="28">
        <f t="shared" si="3"/>
        <v>0</v>
      </c>
      <c r="O21" s="29">
        <f t="shared" si="1"/>
        <v>0</v>
      </c>
    </row>
    <row r="22" spans="2:15" ht="15.75">
      <c r="B22" s="22"/>
      <c r="C22" s="23"/>
      <c r="D22" s="24" t="s">
        <v>26</v>
      </c>
      <c r="E22" s="25" t="s">
        <v>27</v>
      </c>
      <c r="F22" s="24"/>
      <c r="G22" s="24"/>
      <c r="H22" s="26"/>
      <c r="I22" s="27">
        <v>0</v>
      </c>
      <c r="J22" s="28">
        <v>250000</v>
      </c>
      <c r="K22" s="28">
        <f t="shared" si="2"/>
        <v>0</v>
      </c>
      <c r="L22" s="27">
        <v>0</v>
      </c>
      <c r="M22" s="28">
        <v>250000</v>
      </c>
      <c r="N22" s="28">
        <f t="shared" si="3"/>
        <v>0</v>
      </c>
      <c r="O22" s="29" t="e">
        <f t="shared" si="1"/>
        <v>#DIV/0!</v>
      </c>
    </row>
    <row r="23" spans="2:15" ht="15.75">
      <c r="B23" s="22"/>
      <c r="C23" s="23"/>
      <c r="D23" s="24"/>
      <c r="E23" s="25"/>
      <c r="F23" s="24"/>
      <c r="G23" s="24"/>
      <c r="H23" s="26"/>
      <c r="I23" s="30"/>
      <c r="J23" s="28"/>
      <c r="K23" s="28"/>
      <c r="L23" s="30"/>
      <c r="M23" s="28"/>
      <c r="N23" s="28"/>
      <c r="O23" s="29"/>
    </row>
    <row r="24" spans="2:15" ht="15.75">
      <c r="B24" s="31"/>
      <c r="C24" s="32">
        <v>2</v>
      </c>
      <c r="D24" s="33" t="s">
        <v>28</v>
      </c>
      <c r="E24" s="34"/>
      <c r="F24" s="34"/>
      <c r="G24" s="34"/>
      <c r="H24" s="35"/>
      <c r="I24" s="36">
        <v>1997021</v>
      </c>
      <c r="J24" s="37"/>
      <c r="K24" s="38">
        <f t="shared" ref="K24:L24" si="4">SUM(K25:K33)</f>
        <v>153240870000</v>
      </c>
      <c r="L24" s="36">
        <f t="shared" si="4"/>
        <v>97825</v>
      </c>
      <c r="M24" s="37"/>
      <c r="N24" s="38">
        <f>SUM(N25:N33)</f>
        <v>7505130000</v>
      </c>
      <c r="O24" s="39">
        <f t="shared" ref="O24:O32" si="5">N24/K24</f>
        <v>4.8976033612965E-2</v>
      </c>
    </row>
    <row r="25" spans="2:15" ht="15.75">
      <c r="B25" s="22"/>
      <c r="C25" s="23"/>
      <c r="D25" s="24" t="s">
        <v>10</v>
      </c>
      <c r="E25" s="25" t="s">
        <v>11</v>
      </c>
      <c r="F25" s="24"/>
      <c r="G25" s="24"/>
      <c r="H25" s="26"/>
      <c r="I25" s="27">
        <v>596792</v>
      </c>
      <c r="J25" s="28">
        <v>80000</v>
      </c>
      <c r="K25" s="28">
        <f t="shared" ref="K25:K33" si="6">I25*J25</f>
        <v>47743360000</v>
      </c>
      <c r="L25" s="27">
        <v>30219</v>
      </c>
      <c r="M25" s="28">
        <v>80000</v>
      </c>
      <c r="N25" s="28">
        <f t="shared" ref="N25:N33" si="7">L25*M25</f>
        <v>2417520000</v>
      </c>
      <c r="O25" s="29">
        <f t="shared" si="5"/>
        <v>5.0635732382471613E-2</v>
      </c>
    </row>
    <row r="26" spans="2:15" ht="15.75">
      <c r="B26" s="22"/>
      <c r="C26" s="23"/>
      <c r="D26" s="24" t="s">
        <v>12</v>
      </c>
      <c r="E26" s="25" t="s">
        <v>13</v>
      </c>
      <c r="F26" s="24"/>
      <c r="G26" s="24"/>
      <c r="H26" s="26"/>
      <c r="I26" s="27">
        <v>63576</v>
      </c>
      <c r="J26" s="28">
        <v>80000</v>
      </c>
      <c r="K26" s="28">
        <f t="shared" si="6"/>
        <v>5086080000</v>
      </c>
      <c r="L26" s="27">
        <v>2172</v>
      </c>
      <c r="M26" s="28">
        <v>80000</v>
      </c>
      <c r="N26" s="28">
        <f t="shared" si="7"/>
        <v>173760000</v>
      </c>
      <c r="O26" s="29">
        <f t="shared" si="5"/>
        <v>3.4163835409588526E-2</v>
      </c>
    </row>
    <row r="27" spans="2:15" ht="15.75">
      <c r="B27" s="22"/>
      <c r="C27" s="23"/>
      <c r="D27" s="24" t="s">
        <v>14</v>
      </c>
      <c r="E27" s="25" t="s">
        <v>15</v>
      </c>
      <c r="F27" s="24"/>
      <c r="G27" s="24"/>
      <c r="H27" s="26"/>
      <c r="I27" s="27">
        <v>35983</v>
      </c>
      <c r="J27" s="28">
        <v>80000</v>
      </c>
      <c r="K27" s="28">
        <f t="shared" si="6"/>
        <v>2878640000</v>
      </c>
      <c r="L27" s="27">
        <v>1332</v>
      </c>
      <c r="M27" s="28">
        <v>80000</v>
      </c>
      <c r="N27" s="28">
        <f t="shared" si="7"/>
        <v>106560000</v>
      </c>
      <c r="O27" s="29">
        <f t="shared" si="5"/>
        <v>3.7017480476891865E-2</v>
      </c>
    </row>
    <row r="28" spans="2:15" ht="15.75">
      <c r="B28" s="22"/>
      <c r="C28" s="23"/>
      <c r="D28" s="24" t="s">
        <v>16</v>
      </c>
      <c r="E28" s="25" t="s">
        <v>17</v>
      </c>
      <c r="F28" s="24"/>
      <c r="G28" s="24"/>
      <c r="H28" s="26"/>
      <c r="I28" s="27">
        <v>1296381</v>
      </c>
      <c r="J28" s="28">
        <v>75000</v>
      </c>
      <c r="K28" s="28">
        <f t="shared" si="6"/>
        <v>97228575000</v>
      </c>
      <c r="L28" s="27">
        <v>64094</v>
      </c>
      <c r="M28" s="28">
        <v>75000</v>
      </c>
      <c r="N28" s="28">
        <f t="shared" si="7"/>
        <v>4807050000</v>
      </c>
      <c r="O28" s="29">
        <f t="shared" si="5"/>
        <v>4.9440712259744626E-2</v>
      </c>
    </row>
    <row r="29" spans="2:15" ht="15.75">
      <c r="B29" s="22"/>
      <c r="C29" s="23"/>
      <c r="D29" s="24" t="s">
        <v>18</v>
      </c>
      <c r="E29" s="25" t="s">
        <v>19</v>
      </c>
      <c r="F29" s="24"/>
      <c r="G29" s="24"/>
      <c r="H29" s="26"/>
      <c r="I29" s="27">
        <v>3815</v>
      </c>
      <c r="J29" s="28">
        <v>75000</v>
      </c>
      <c r="K29" s="28">
        <f t="shared" si="6"/>
        <v>286125000</v>
      </c>
      <c r="L29" s="27">
        <v>0</v>
      </c>
      <c r="M29" s="28">
        <v>75000</v>
      </c>
      <c r="N29" s="28">
        <f t="shared" si="7"/>
        <v>0</v>
      </c>
      <c r="O29" s="29">
        <f t="shared" si="5"/>
        <v>0</v>
      </c>
    </row>
    <row r="30" spans="2:15" ht="15.75">
      <c r="B30" s="22"/>
      <c r="C30" s="23"/>
      <c r="D30" s="24" t="s">
        <v>20</v>
      </c>
      <c r="E30" s="25" t="s">
        <v>21</v>
      </c>
      <c r="F30" s="24"/>
      <c r="G30" s="24"/>
      <c r="H30" s="26"/>
      <c r="I30" s="27">
        <v>86</v>
      </c>
      <c r="J30" s="28">
        <v>75000</v>
      </c>
      <c r="K30" s="28">
        <f t="shared" si="6"/>
        <v>6450000</v>
      </c>
      <c r="L30" s="27">
        <v>0</v>
      </c>
      <c r="M30" s="28">
        <v>75000</v>
      </c>
      <c r="N30" s="28">
        <f t="shared" si="7"/>
        <v>0</v>
      </c>
      <c r="O30" s="29">
        <f t="shared" si="5"/>
        <v>0</v>
      </c>
    </row>
    <row r="31" spans="2:15" ht="15.75">
      <c r="B31" s="22"/>
      <c r="C31" s="23"/>
      <c r="D31" s="24" t="s">
        <v>22</v>
      </c>
      <c r="E31" s="25" t="s">
        <v>23</v>
      </c>
      <c r="F31" s="24"/>
      <c r="G31" s="24"/>
      <c r="H31" s="26"/>
      <c r="I31" s="27">
        <v>360</v>
      </c>
      <c r="J31" s="28">
        <v>30000</v>
      </c>
      <c r="K31" s="28">
        <f t="shared" si="6"/>
        <v>10800000</v>
      </c>
      <c r="L31" s="27">
        <v>8</v>
      </c>
      <c r="M31" s="28">
        <v>30000</v>
      </c>
      <c r="N31" s="28">
        <f t="shared" si="7"/>
        <v>240000</v>
      </c>
      <c r="O31" s="29">
        <f t="shared" si="5"/>
        <v>2.2222222222222223E-2</v>
      </c>
    </row>
    <row r="32" spans="2:15" ht="15.75">
      <c r="B32" s="22"/>
      <c r="C32" s="23"/>
      <c r="D32" s="24" t="s">
        <v>24</v>
      </c>
      <c r="E32" s="25" t="s">
        <v>25</v>
      </c>
      <c r="F32" s="24"/>
      <c r="G32" s="24"/>
      <c r="H32" s="26"/>
      <c r="I32" s="27">
        <v>28</v>
      </c>
      <c r="J32" s="28">
        <v>30000</v>
      </c>
      <c r="K32" s="28">
        <f t="shared" si="6"/>
        <v>840000</v>
      </c>
      <c r="L32" s="27">
        <v>0</v>
      </c>
      <c r="M32" s="28">
        <v>30000</v>
      </c>
      <c r="N32" s="28">
        <f t="shared" si="7"/>
        <v>0</v>
      </c>
      <c r="O32" s="29">
        <f t="shared" si="5"/>
        <v>0</v>
      </c>
    </row>
    <row r="33" spans="2:15" ht="15.75">
      <c r="B33" s="22"/>
      <c r="C33" s="23"/>
      <c r="D33" s="24" t="s">
        <v>26</v>
      </c>
      <c r="E33" s="25" t="s">
        <v>29</v>
      </c>
      <c r="F33" s="24"/>
      <c r="G33" s="24"/>
      <c r="H33" s="26"/>
      <c r="I33" s="27">
        <v>0</v>
      </c>
      <c r="J33" s="28">
        <v>225000</v>
      </c>
      <c r="K33" s="28">
        <f t="shared" si="6"/>
        <v>0</v>
      </c>
      <c r="L33" s="27">
        <v>0</v>
      </c>
      <c r="M33" s="28">
        <v>225000</v>
      </c>
      <c r="N33" s="28">
        <f t="shared" si="7"/>
        <v>0</v>
      </c>
      <c r="O33" s="29"/>
    </row>
    <row r="34" spans="2:15" ht="15.75">
      <c r="B34" s="22"/>
      <c r="C34" s="23"/>
      <c r="D34" s="24"/>
      <c r="E34" s="25"/>
      <c r="F34" s="24"/>
      <c r="G34" s="24"/>
      <c r="H34" s="26"/>
      <c r="I34" s="40"/>
      <c r="J34" s="28"/>
      <c r="K34" s="41"/>
      <c r="L34" s="40"/>
      <c r="M34" s="28"/>
      <c r="N34" s="41"/>
      <c r="O34" s="29"/>
    </row>
    <row r="35" spans="2:15" ht="15.75">
      <c r="B35" s="31"/>
      <c r="C35" s="32">
        <v>3</v>
      </c>
      <c r="D35" s="33" t="s">
        <v>30</v>
      </c>
      <c r="E35" s="42"/>
      <c r="F35" s="42"/>
      <c r="G35" s="42"/>
      <c r="H35" s="43"/>
      <c r="I35" s="36">
        <v>100000</v>
      </c>
      <c r="J35" s="38">
        <v>50000</v>
      </c>
      <c r="K35" s="38">
        <f>I35*J35</f>
        <v>5000000000</v>
      </c>
      <c r="L35" s="36">
        <v>5501</v>
      </c>
      <c r="M35" s="38">
        <v>50000</v>
      </c>
      <c r="N35" s="38">
        <f>L35*M35</f>
        <v>275050000</v>
      </c>
      <c r="O35" s="39">
        <f>N35/K35</f>
        <v>5.5010000000000003E-2</v>
      </c>
    </row>
    <row r="36" spans="2:15" ht="15.75">
      <c r="B36" s="22"/>
      <c r="C36" s="44"/>
      <c r="D36" s="45"/>
      <c r="E36" s="24"/>
      <c r="F36" s="24"/>
      <c r="G36" s="24"/>
      <c r="H36" s="26"/>
      <c r="I36" s="46"/>
      <c r="J36" s="28"/>
      <c r="K36" s="41"/>
      <c r="L36" s="46"/>
      <c r="M36" s="28"/>
      <c r="N36" s="41"/>
      <c r="O36" s="29"/>
    </row>
    <row r="37" spans="2:15" ht="15.75">
      <c r="B37" s="31"/>
      <c r="C37" s="32">
        <v>4</v>
      </c>
      <c r="D37" s="33" t="s">
        <v>31</v>
      </c>
      <c r="E37" s="34"/>
      <c r="F37" s="34"/>
      <c r="G37" s="34"/>
      <c r="H37" s="35"/>
      <c r="I37" s="36">
        <v>6000000</v>
      </c>
      <c r="J37" s="37"/>
      <c r="K37" s="38">
        <f>+K38+K41</f>
        <v>727309900000</v>
      </c>
      <c r="L37" s="36">
        <f>L38+L41</f>
        <v>272578</v>
      </c>
      <c r="M37" s="37"/>
      <c r="N37" s="38">
        <f>+N38+N41</f>
        <v>31986000000</v>
      </c>
      <c r="O37" s="39">
        <f t="shared" ref="O37:O43" si="8">N37/K37</f>
        <v>4.3978502148808919E-2</v>
      </c>
    </row>
    <row r="38" spans="2:15" ht="15.75">
      <c r="B38" s="22"/>
      <c r="C38" s="23"/>
      <c r="D38" s="47" t="s">
        <v>10</v>
      </c>
      <c r="E38" s="45" t="s">
        <v>32</v>
      </c>
      <c r="F38" s="24"/>
      <c r="G38" s="24"/>
      <c r="H38" s="26"/>
      <c r="I38" s="48">
        <v>4726901</v>
      </c>
      <c r="J38" s="49"/>
      <c r="K38" s="50">
        <f t="shared" ref="K38:L38" si="9">SUM(K39:K40)</f>
        <v>472690100000</v>
      </c>
      <c r="L38" s="48">
        <f t="shared" si="9"/>
        <v>225296</v>
      </c>
      <c r="M38" s="49"/>
      <c r="N38" s="50">
        <f>SUM(N39:N40)</f>
        <v>22529600000</v>
      </c>
      <c r="O38" s="29">
        <f t="shared" si="8"/>
        <v>4.7662517154473935E-2</v>
      </c>
    </row>
    <row r="39" spans="2:15" ht="15.75">
      <c r="B39" s="22"/>
      <c r="C39" s="23"/>
      <c r="D39" s="24"/>
      <c r="E39" s="24" t="s">
        <v>33</v>
      </c>
      <c r="F39" s="25" t="s">
        <v>34</v>
      </c>
      <c r="G39" s="24"/>
      <c r="H39" s="26"/>
      <c r="I39" s="27">
        <v>2267860</v>
      </c>
      <c r="J39" s="28">
        <v>100000</v>
      </c>
      <c r="K39" s="28">
        <f t="shared" ref="K39:K40" si="10">I39*J39</f>
        <v>226786000000</v>
      </c>
      <c r="L39" s="27">
        <v>55867</v>
      </c>
      <c r="M39" s="28">
        <v>100000</v>
      </c>
      <c r="N39" s="28">
        <f t="shared" ref="N39:N40" si="11">L39*M39</f>
        <v>5586700000</v>
      </c>
      <c r="O39" s="29">
        <f t="shared" si="8"/>
        <v>2.4634236681276622E-2</v>
      </c>
    </row>
    <row r="40" spans="2:15" ht="15.75">
      <c r="B40" s="22"/>
      <c r="C40" s="23"/>
      <c r="D40" s="24"/>
      <c r="E40" s="24" t="s">
        <v>35</v>
      </c>
      <c r="F40" s="25" t="s">
        <v>36</v>
      </c>
      <c r="G40" s="24"/>
      <c r="H40" s="26"/>
      <c r="I40" s="27">
        <v>2459041</v>
      </c>
      <c r="J40" s="28">
        <v>100000</v>
      </c>
      <c r="K40" s="28">
        <f t="shared" si="10"/>
        <v>245904100000</v>
      </c>
      <c r="L40" s="27">
        <v>169429</v>
      </c>
      <c r="M40" s="28">
        <v>100000</v>
      </c>
      <c r="N40" s="28">
        <f t="shared" si="11"/>
        <v>16942900000</v>
      </c>
      <c r="O40" s="29">
        <f t="shared" si="8"/>
        <v>6.8900437202958395E-2</v>
      </c>
    </row>
    <row r="41" spans="2:15" ht="15.75">
      <c r="B41" s="22"/>
      <c r="C41" s="23"/>
      <c r="D41" s="47" t="s">
        <v>12</v>
      </c>
      <c r="E41" s="45" t="s">
        <v>37</v>
      </c>
      <c r="F41" s="24"/>
      <c r="G41" s="24"/>
      <c r="H41" s="26"/>
      <c r="I41" s="48">
        <v>1273099</v>
      </c>
      <c r="J41" s="49"/>
      <c r="K41" s="50">
        <f t="shared" ref="K41:L41" si="12">SUM(K42:K43)</f>
        <v>254619800000</v>
      </c>
      <c r="L41" s="48">
        <f t="shared" si="12"/>
        <v>47282</v>
      </c>
      <c r="M41" s="49"/>
      <c r="N41" s="50">
        <f>SUM(N42:N43)</f>
        <v>9456400000</v>
      </c>
      <c r="O41" s="29">
        <f t="shared" si="8"/>
        <v>3.7139295530041264E-2</v>
      </c>
    </row>
    <row r="42" spans="2:15" ht="15.75">
      <c r="B42" s="22"/>
      <c r="C42" s="23"/>
      <c r="D42" s="24"/>
      <c r="E42" s="24" t="s">
        <v>33</v>
      </c>
      <c r="F42" s="25" t="s">
        <v>34</v>
      </c>
      <c r="G42" s="24"/>
      <c r="H42" s="26"/>
      <c r="I42" s="27">
        <v>626781</v>
      </c>
      <c r="J42" s="28">
        <v>200000</v>
      </c>
      <c r="K42" s="28">
        <f t="shared" ref="K42:K43" si="13">I42*J42</f>
        <v>125356200000</v>
      </c>
      <c r="L42" s="27">
        <v>6305</v>
      </c>
      <c r="M42" s="28">
        <v>200000</v>
      </c>
      <c r="N42" s="28">
        <f t="shared" ref="N42:N43" si="14">L42*M42</f>
        <v>1261000000</v>
      </c>
      <c r="O42" s="29">
        <f t="shared" si="8"/>
        <v>1.0059334919214208E-2</v>
      </c>
    </row>
    <row r="43" spans="2:15" ht="15.75">
      <c r="B43" s="22"/>
      <c r="C43" s="23"/>
      <c r="D43" s="24"/>
      <c r="E43" s="24" t="s">
        <v>35</v>
      </c>
      <c r="F43" s="25" t="s">
        <v>36</v>
      </c>
      <c r="G43" s="24"/>
      <c r="H43" s="26"/>
      <c r="I43" s="27">
        <v>646318</v>
      </c>
      <c r="J43" s="28">
        <v>200000</v>
      </c>
      <c r="K43" s="28">
        <f t="shared" si="13"/>
        <v>129263600000</v>
      </c>
      <c r="L43" s="27">
        <v>40977</v>
      </c>
      <c r="M43" s="28">
        <v>200000</v>
      </c>
      <c r="N43" s="28">
        <f t="shared" si="14"/>
        <v>8195400000</v>
      </c>
      <c r="O43" s="29">
        <f t="shared" si="8"/>
        <v>6.3400678922759385E-2</v>
      </c>
    </row>
    <row r="44" spans="2:15" ht="15.75">
      <c r="B44" s="51"/>
      <c r="C44" s="52"/>
      <c r="D44" s="53"/>
      <c r="E44" s="53"/>
      <c r="F44" s="54"/>
      <c r="G44" s="53"/>
      <c r="H44" s="55"/>
      <c r="I44" s="56"/>
      <c r="J44" s="57"/>
      <c r="K44" s="58"/>
      <c r="L44" s="56"/>
      <c r="M44" s="57"/>
      <c r="N44" s="58"/>
      <c r="O44" s="59"/>
    </row>
    <row r="45" spans="2:15" ht="15.75">
      <c r="B45" s="60"/>
      <c r="C45" s="61">
        <v>5</v>
      </c>
      <c r="D45" s="62" t="s">
        <v>38</v>
      </c>
      <c r="E45" s="63"/>
      <c r="F45" s="63"/>
      <c r="G45" s="63"/>
      <c r="H45" s="64"/>
      <c r="I45" s="65">
        <v>6000000</v>
      </c>
      <c r="J45" s="66"/>
      <c r="K45" s="65">
        <f>SUM(K46,K47)</f>
        <v>411586320000</v>
      </c>
      <c r="L45" s="65">
        <f>SUM(L46:L47)</f>
        <v>271207</v>
      </c>
      <c r="M45" s="66"/>
      <c r="N45" s="65">
        <f>SUM(N46,N47)</f>
        <v>18329500000</v>
      </c>
      <c r="O45" s="67">
        <f t="shared" ref="O45:O47" si="15">N45/K45</f>
        <v>4.4533793057067589E-2</v>
      </c>
    </row>
    <row r="46" spans="2:15" ht="15.75">
      <c r="B46" s="22"/>
      <c r="C46" s="23"/>
      <c r="D46" s="24" t="s">
        <v>10</v>
      </c>
      <c r="E46" s="25" t="s">
        <v>39</v>
      </c>
      <c r="F46" s="24"/>
      <c r="G46" s="24"/>
      <c r="H46" s="26"/>
      <c r="I46" s="48">
        <v>4710342</v>
      </c>
      <c r="J46" s="28">
        <v>60000</v>
      </c>
      <c r="K46" s="27">
        <f t="shared" ref="K46:K47" si="16">I46*J46</f>
        <v>282620520000</v>
      </c>
      <c r="L46" s="27">
        <v>219780</v>
      </c>
      <c r="M46" s="28">
        <v>60000</v>
      </c>
      <c r="N46" s="28">
        <f t="shared" ref="N46:N47" si="17">L46*M46</f>
        <v>13186800000</v>
      </c>
      <c r="O46" s="29">
        <f t="shared" si="15"/>
        <v>4.6659032401468938E-2</v>
      </c>
    </row>
    <row r="47" spans="2:15" ht="15.75">
      <c r="B47" s="22"/>
      <c r="C47" s="23"/>
      <c r="D47" s="24" t="s">
        <v>12</v>
      </c>
      <c r="E47" s="25" t="s">
        <v>40</v>
      </c>
      <c r="F47" s="24"/>
      <c r="G47" s="24"/>
      <c r="H47" s="26"/>
      <c r="I47" s="27">
        <v>1289658</v>
      </c>
      <c r="J47" s="28">
        <v>100000</v>
      </c>
      <c r="K47" s="28">
        <f t="shared" si="16"/>
        <v>128965800000</v>
      </c>
      <c r="L47" s="27">
        <v>51427</v>
      </c>
      <c r="M47" s="28">
        <v>100000</v>
      </c>
      <c r="N47" s="28">
        <f t="shared" si="17"/>
        <v>5142700000</v>
      </c>
      <c r="O47" s="29">
        <f t="shared" si="15"/>
        <v>3.9876463372459987E-2</v>
      </c>
    </row>
    <row r="48" spans="2:15" ht="15.75">
      <c r="B48" s="22"/>
      <c r="C48" s="23"/>
      <c r="D48" s="24"/>
      <c r="E48" s="25"/>
      <c r="F48" s="24"/>
      <c r="G48" s="24"/>
      <c r="H48" s="26"/>
      <c r="I48" s="27"/>
      <c r="J48" s="28"/>
      <c r="K48" s="28"/>
      <c r="L48" s="27"/>
      <c r="M48" s="28"/>
      <c r="N48" s="28"/>
      <c r="O48" s="29"/>
    </row>
    <row r="49" spans="2:15" ht="15.75">
      <c r="B49" s="31"/>
      <c r="C49" s="32">
        <v>6</v>
      </c>
      <c r="D49" s="33" t="s">
        <v>41</v>
      </c>
      <c r="E49" s="34"/>
      <c r="F49" s="34"/>
      <c r="G49" s="34"/>
      <c r="H49" s="35"/>
      <c r="I49" s="36">
        <v>1500000</v>
      </c>
      <c r="J49" s="37"/>
      <c r="K49" s="38">
        <f t="shared" ref="K49:L49" si="18">SUM(K50:K51)</f>
        <v>43861750000</v>
      </c>
      <c r="L49" s="36">
        <f t="shared" si="18"/>
        <v>62515</v>
      </c>
      <c r="M49" s="37"/>
      <c r="N49" s="38">
        <f>SUM(N50:N51)</f>
        <v>1730525000</v>
      </c>
      <c r="O49" s="39">
        <f t="shared" ref="O49:O51" si="19">N49/K49</f>
        <v>3.9454080149560838E-2</v>
      </c>
    </row>
    <row r="50" spans="2:15" ht="15.75">
      <c r="B50" s="22"/>
      <c r="C50" s="23"/>
      <c r="D50" s="24" t="s">
        <v>10</v>
      </c>
      <c r="E50" s="25" t="s">
        <v>39</v>
      </c>
      <c r="F50" s="24"/>
      <c r="G50" s="24"/>
      <c r="H50" s="26"/>
      <c r="I50" s="27">
        <v>1245530</v>
      </c>
      <c r="J50" s="28">
        <v>25000</v>
      </c>
      <c r="K50" s="28">
        <f t="shared" ref="K50:K51" si="20">I50*J50</f>
        <v>31138250000</v>
      </c>
      <c r="L50" s="27">
        <v>55809</v>
      </c>
      <c r="M50" s="28">
        <v>25000</v>
      </c>
      <c r="N50" s="28">
        <f t="shared" ref="N50:N51" si="21">L50*M50</f>
        <v>1395225000</v>
      </c>
      <c r="O50" s="29">
        <f t="shared" si="19"/>
        <v>4.4807431374595551E-2</v>
      </c>
    </row>
    <row r="51" spans="2:15" ht="15.75">
      <c r="B51" s="22"/>
      <c r="C51" s="23"/>
      <c r="D51" s="24" t="s">
        <v>12</v>
      </c>
      <c r="E51" s="25" t="s">
        <v>40</v>
      </c>
      <c r="F51" s="24"/>
      <c r="G51" s="24"/>
      <c r="H51" s="26"/>
      <c r="I51" s="27">
        <v>254470</v>
      </c>
      <c r="J51" s="28">
        <v>50000</v>
      </c>
      <c r="K51" s="28">
        <f t="shared" si="20"/>
        <v>12723500000</v>
      </c>
      <c r="L51" s="27">
        <v>6706</v>
      </c>
      <c r="M51" s="28">
        <v>50000</v>
      </c>
      <c r="N51" s="28">
        <f t="shared" si="21"/>
        <v>335300000</v>
      </c>
      <c r="O51" s="29">
        <f t="shared" si="19"/>
        <v>2.6352811726333164E-2</v>
      </c>
    </row>
    <row r="52" spans="2:15" ht="15.75">
      <c r="B52" s="22"/>
      <c r="C52" s="23"/>
      <c r="D52" s="24"/>
      <c r="E52" s="25"/>
      <c r="F52" s="24"/>
      <c r="G52" s="24"/>
      <c r="H52" s="26"/>
      <c r="I52" s="27"/>
      <c r="J52" s="49"/>
      <c r="K52" s="41"/>
      <c r="L52" s="27"/>
      <c r="M52" s="49"/>
      <c r="N52" s="41"/>
      <c r="O52" s="29"/>
    </row>
    <row r="53" spans="2:15" ht="15.75">
      <c r="B53" s="31"/>
      <c r="C53" s="32">
        <v>7</v>
      </c>
      <c r="D53" s="33" t="s">
        <v>42</v>
      </c>
      <c r="E53" s="34"/>
      <c r="F53" s="34"/>
      <c r="G53" s="34"/>
      <c r="H53" s="35"/>
      <c r="I53" s="36">
        <v>75000</v>
      </c>
      <c r="J53" s="37"/>
      <c r="K53" s="38">
        <f t="shared" ref="K53:L53" si="22">SUM(K54:K55)</f>
        <v>5024800000</v>
      </c>
      <c r="L53" s="36">
        <f t="shared" si="22"/>
        <v>4957</v>
      </c>
      <c r="M53" s="37"/>
      <c r="N53" s="38">
        <f>SUM(N54:N55)</f>
        <v>348940000</v>
      </c>
      <c r="O53" s="39">
        <f t="shared" ref="O53:O55" si="23">N53/K53</f>
        <v>6.944355994268428E-2</v>
      </c>
    </row>
    <row r="54" spans="2:15" ht="15.75">
      <c r="B54" s="22"/>
      <c r="C54" s="23"/>
      <c r="D54" s="24" t="s">
        <v>10</v>
      </c>
      <c r="E54" s="25" t="s">
        <v>39</v>
      </c>
      <c r="F54" s="24"/>
      <c r="G54" s="24"/>
      <c r="H54" s="26"/>
      <c r="I54" s="27">
        <v>61880</v>
      </c>
      <c r="J54" s="28">
        <v>60000</v>
      </c>
      <c r="K54" s="28">
        <f t="shared" ref="K54:K55" si="24">I54*J54</f>
        <v>3712800000</v>
      </c>
      <c r="L54" s="27">
        <v>3669</v>
      </c>
      <c r="M54" s="28">
        <v>60000</v>
      </c>
      <c r="N54" s="28">
        <f t="shared" ref="N54:N55" si="25">L54*M54</f>
        <v>220140000</v>
      </c>
      <c r="O54" s="29">
        <f t="shared" si="23"/>
        <v>5.9292178409825466E-2</v>
      </c>
    </row>
    <row r="55" spans="2:15" ht="15.75">
      <c r="B55" s="22"/>
      <c r="C55" s="23"/>
      <c r="D55" s="24" t="s">
        <v>12</v>
      </c>
      <c r="E55" s="25" t="s">
        <v>40</v>
      </c>
      <c r="F55" s="24"/>
      <c r="G55" s="24"/>
      <c r="H55" s="26"/>
      <c r="I55" s="27">
        <v>13120</v>
      </c>
      <c r="J55" s="28">
        <v>100000</v>
      </c>
      <c r="K55" s="28">
        <f t="shared" si="24"/>
        <v>1312000000</v>
      </c>
      <c r="L55" s="27">
        <v>1288</v>
      </c>
      <c r="M55" s="28">
        <v>100000</v>
      </c>
      <c r="N55" s="28">
        <f t="shared" si="25"/>
        <v>128800000</v>
      </c>
      <c r="O55" s="29">
        <f t="shared" si="23"/>
        <v>9.8170731707317077E-2</v>
      </c>
    </row>
    <row r="56" spans="2:15" ht="15.75">
      <c r="B56" s="22"/>
      <c r="C56" s="23"/>
      <c r="D56" s="24"/>
      <c r="E56" s="25"/>
      <c r="F56" s="24"/>
      <c r="G56" s="24"/>
      <c r="H56" s="26"/>
      <c r="I56" s="27"/>
      <c r="J56" s="49"/>
      <c r="K56" s="41"/>
      <c r="L56" s="27"/>
      <c r="M56" s="49"/>
      <c r="N56" s="41"/>
      <c r="O56" s="29"/>
    </row>
    <row r="57" spans="2:15" ht="15.75">
      <c r="B57" s="31"/>
      <c r="C57" s="32">
        <v>8</v>
      </c>
      <c r="D57" s="33" t="s">
        <v>43</v>
      </c>
      <c r="E57" s="34"/>
      <c r="F57" s="34"/>
      <c r="G57" s="34"/>
      <c r="H57" s="35"/>
      <c r="I57" s="36">
        <v>2400000</v>
      </c>
      <c r="J57" s="37"/>
      <c r="K57" s="38">
        <f t="shared" ref="K57:L57" si="26">+K58+K61</f>
        <v>607771500000</v>
      </c>
      <c r="L57" s="36">
        <f t="shared" si="26"/>
        <v>102916</v>
      </c>
      <c r="M57" s="37"/>
      <c r="N57" s="38">
        <f>+N58+N61</f>
        <v>26077650000</v>
      </c>
      <c r="O57" s="39">
        <f t="shared" ref="O57:O63" si="27">N57/K57</f>
        <v>4.2906997119805716E-2</v>
      </c>
    </row>
    <row r="58" spans="2:15" ht="15.75">
      <c r="B58" s="22"/>
      <c r="C58" s="23"/>
      <c r="D58" s="47" t="s">
        <v>10</v>
      </c>
      <c r="E58" s="45" t="s">
        <v>32</v>
      </c>
      <c r="F58" s="24"/>
      <c r="G58" s="24"/>
      <c r="H58" s="26"/>
      <c r="I58" s="48">
        <v>1948190</v>
      </c>
      <c r="J58" s="49"/>
      <c r="K58" s="50">
        <f t="shared" ref="K58:L58" si="28">K59+K60</f>
        <v>438342750000</v>
      </c>
      <c r="L58" s="48">
        <f t="shared" si="28"/>
        <v>83439</v>
      </c>
      <c r="M58" s="49"/>
      <c r="N58" s="50">
        <f>N59+N60</f>
        <v>18773775000</v>
      </c>
      <c r="O58" s="29">
        <f t="shared" si="27"/>
        <v>4.2828984852606777E-2</v>
      </c>
    </row>
    <row r="59" spans="2:15" ht="15.75">
      <c r="B59" s="22"/>
      <c r="C59" s="23"/>
      <c r="D59" s="24"/>
      <c r="E59" s="24" t="s">
        <v>33</v>
      </c>
      <c r="F59" s="25" t="s">
        <v>34</v>
      </c>
      <c r="G59" s="24"/>
      <c r="H59" s="26"/>
      <c r="I59" s="27">
        <v>1619192</v>
      </c>
      <c r="J59" s="28">
        <v>225000</v>
      </c>
      <c r="K59" s="28">
        <f t="shared" ref="K59:K60" si="29">I59*J59</f>
        <v>364318200000</v>
      </c>
      <c r="L59" s="27">
        <v>55788</v>
      </c>
      <c r="M59" s="28">
        <v>225000</v>
      </c>
      <c r="N59" s="28">
        <f t="shared" ref="N59:N60" si="30">L59*M59</f>
        <v>12552300000</v>
      </c>
      <c r="O59" s="29">
        <f t="shared" si="27"/>
        <v>3.445422161176686E-2</v>
      </c>
    </row>
    <row r="60" spans="2:15" ht="15.75">
      <c r="B60" s="22"/>
      <c r="C60" s="23"/>
      <c r="D60" s="24"/>
      <c r="E60" s="24" t="s">
        <v>35</v>
      </c>
      <c r="F60" s="25" t="s">
        <v>44</v>
      </c>
      <c r="G60" s="24"/>
      <c r="H60" s="26"/>
      <c r="I60" s="27">
        <v>328998</v>
      </c>
      <c r="J60" s="28">
        <v>225000</v>
      </c>
      <c r="K60" s="28">
        <f t="shared" si="29"/>
        <v>74024550000</v>
      </c>
      <c r="L60" s="27">
        <v>27651</v>
      </c>
      <c r="M60" s="28">
        <v>225000</v>
      </c>
      <c r="N60" s="28">
        <f t="shared" si="30"/>
        <v>6221475000</v>
      </c>
      <c r="O60" s="29">
        <f t="shared" si="27"/>
        <v>8.4046103623730231E-2</v>
      </c>
    </row>
    <row r="61" spans="2:15" ht="15.75">
      <c r="B61" s="22"/>
      <c r="C61" s="23"/>
      <c r="D61" s="47" t="s">
        <v>12</v>
      </c>
      <c r="E61" s="45" t="s">
        <v>40</v>
      </c>
      <c r="F61" s="24"/>
      <c r="G61" s="24"/>
      <c r="H61" s="26"/>
      <c r="I61" s="48">
        <v>451810</v>
      </c>
      <c r="J61" s="49"/>
      <c r="K61" s="48">
        <f t="shared" ref="K61:L61" si="31">K62+K63</f>
        <v>169428750000</v>
      </c>
      <c r="L61" s="48">
        <f t="shared" si="31"/>
        <v>19477</v>
      </c>
      <c r="M61" s="49"/>
      <c r="N61" s="48">
        <f>N62+N63</f>
        <v>7303875000</v>
      </c>
      <c r="O61" s="29">
        <f t="shared" si="27"/>
        <v>4.3108828932515879E-2</v>
      </c>
    </row>
    <row r="62" spans="2:15" ht="15.75">
      <c r="B62" s="22"/>
      <c r="C62" s="23"/>
      <c r="D62" s="24"/>
      <c r="E62" s="24" t="s">
        <v>33</v>
      </c>
      <c r="F62" s="25" t="s">
        <v>34</v>
      </c>
      <c r="G62" s="24"/>
      <c r="H62" s="26"/>
      <c r="I62" s="27">
        <v>319858</v>
      </c>
      <c r="J62" s="28">
        <v>375000</v>
      </c>
      <c r="K62" s="28">
        <f t="shared" ref="K62:K63" si="32">I62*J62</f>
        <v>119946750000</v>
      </c>
      <c r="L62" s="27">
        <v>6350</v>
      </c>
      <c r="M62" s="28">
        <v>375000</v>
      </c>
      <c r="N62" s="28">
        <f t="shared" ref="N62:N63" si="33">L62*M62</f>
        <v>2381250000</v>
      </c>
      <c r="O62" s="29">
        <f t="shared" si="27"/>
        <v>1.9852559573310658E-2</v>
      </c>
    </row>
    <row r="63" spans="2:15" ht="15.75">
      <c r="B63" s="22"/>
      <c r="C63" s="23"/>
      <c r="D63" s="24"/>
      <c r="E63" s="24" t="s">
        <v>35</v>
      </c>
      <c r="F63" s="25" t="s">
        <v>44</v>
      </c>
      <c r="G63" s="24"/>
      <c r="H63" s="26"/>
      <c r="I63" s="27">
        <v>131952</v>
      </c>
      <c r="J63" s="28">
        <v>375000</v>
      </c>
      <c r="K63" s="28">
        <f t="shared" si="32"/>
        <v>49482000000</v>
      </c>
      <c r="L63" s="27">
        <v>13127</v>
      </c>
      <c r="M63" s="28">
        <v>375000</v>
      </c>
      <c r="N63" s="28">
        <f t="shared" si="33"/>
        <v>4922625000</v>
      </c>
      <c r="O63" s="29">
        <f t="shared" si="27"/>
        <v>9.9483145386201038E-2</v>
      </c>
    </row>
    <row r="64" spans="2:15" ht="15.75">
      <c r="B64" s="22"/>
      <c r="C64" s="23"/>
      <c r="D64" s="24"/>
      <c r="E64" s="24"/>
      <c r="F64" s="25"/>
      <c r="G64" s="24"/>
      <c r="H64" s="26"/>
      <c r="I64" s="27"/>
      <c r="J64" s="49"/>
      <c r="K64" s="41"/>
      <c r="L64" s="27"/>
      <c r="M64" s="49"/>
      <c r="N64" s="41"/>
      <c r="O64" s="29"/>
    </row>
    <row r="65" spans="2:15" ht="15.75">
      <c r="B65" s="31"/>
      <c r="C65" s="32">
        <v>9</v>
      </c>
      <c r="D65" s="33" t="s">
        <v>45</v>
      </c>
      <c r="E65" s="34"/>
      <c r="F65" s="34"/>
      <c r="G65" s="34"/>
      <c r="H65" s="35"/>
      <c r="I65" s="36">
        <v>250000</v>
      </c>
      <c r="J65" s="37"/>
      <c r="K65" s="38">
        <f t="shared" ref="K65:L65" si="34">SUM(K66:K67)</f>
        <v>50337200000</v>
      </c>
      <c r="L65" s="36">
        <f t="shared" si="34"/>
        <v>13495</v>
      </c>
      <c r="M65" s="37"/>
      <c r="N65" s="38">
        <f>SUM(N66:N67)</f>
        <v>2714350000</v>
      </c>
      <c r="O65" s="39">
        <f t="shared" ref="O65:O67" si="35">N65/K65</f>
        <v>5.3923340988374403E-2</v>
      </c>
    </row>
    <row r="66" spans="2:15" ht="15.75">
      <c r="B66" s="22"/>
      <c r="C66" s="23"/>
      <c r="D66" s="24" t="s">
        <v>10</v>
      </c>
      <c r="E66" s="25" t="s">
        <v>46</v>
      </c>
      <c r="F66" s="24"/>
      <c r="G66" s="24"/>
      <c r="H66" s="26"/>
      <c r="I66" s="27">
        <v>121628</v>
      </c>
      <c r="J66" s="28">
        <v>150000</v>
      </c>
      <c r="K66" s="28">
        <f t="shared" ref="K66:K67" si="36">I66*J66</f>
        <v>18244200000</v>
      </c>
      <c r="L66" s="27">
        <v>6594</v>
      </c>
      <c r="M66" s="28">
        <v>150000</v>
      </c>
      <c r="N66" s="28">
        <f t="shared" ref="N66:N67" si="37">L66*M66</f>
        <v>989100000</v>
      </c>
      <c r="O66" s="29">
        <f t="shared" si="35"/>
        <v>5.4214490084520013E-2</v>
      </c>
    </row>
    <row r="67" spans="2:15" ht="15.75">
      <c r="B67" s="22"/>
      <c r="C67" s="23"/>
      <c r="D67" s="24" t="s">
        <v>12</v>
      </c>
      <c r="E67" s="25" t="s">
        <v>40</v>
      </c>
      <c r="F67" s="24"/>
      <c r="G67" s="24"/>
      <c r="H67" s="26"/>
      <c r="I67" s="27">
        <v>128372</v>
      </c>
      <c r="J67" s="28">
        <v>250000</v>
      </c>
      <c r="K67" s="28">
        <f t="shared" si="36"/>
        <v>32093000000</v>
      </c>
      <c r="L67" s="27">
        <v>6901</v>
      </c>
      <c r="M67" s="28">
        <v>250000</v>
      </c>
      <c r="N67" s="28">
        <f t="shared" si="37"/>
        <v>1725250000</v>
      </c>
      <c r="O67" s="29">
        <f t="shared" si="35"/>
        <v>5.3757828810020877E-2</v>
      </c>
    </row>
    <row r="68" spans="2:15" ht="15.75">
      <c r="B68" s="22"/>
      <c r="C68" s="23"/>
      <c r="D68" s="24"/>
      <c r="E68" s="25"/>
      <c r="F68" s="24"/>
      <c r="G68" s="24"/>
      <c r="H68" s="26"/>
      <c r="I68" s="46"/>
      <c r="J68" s="49"/>
      <c r="K68" s="41"/>
      <c r="L68" s="46"/>
      <c r="M68" s="49"/>
      <c r="N68" s="41"/>
      <c r="O68" s="29"/>
    </row>
    <row r="69" spans="2:15" ht="15.75">
      <c r="B69" s="31"/>
      <c r="C69" s="32">
        <v>10</v>
      </c>
      <c r="D69" s="33" t="s">
        <v>47</v>
      </c>
      <c r="E69" s="34"/>
      <c r="F69" s="34"/>
      <c r="G69" s="34"/>
      <c r="H69" s="35"/>
      <c r="I69" s="36">
        <v>0</v>
      </c>
      <c r="J69" s="37"/>
      <c r="K69" s="38">
        <f t="shared" ref="K69:L69" si="38">+K70+K73</f>
        <v>0</v>
      </c>
      <c r="L69" s="36">
        <f t="shared" si="38"/>
        <v>0</v>
      </c>
      <c r="M69" s="37"/>
      <c r="N69" s="38">
        <f>+N70+N73</f>
        <v>0</v>
      </c>
      <c r="O69" s="39" t="e">
        <f t="shared" ref="O69:O75" si="39">N69/K69</f>
        <v>#DIV/0!</v>
      </c>
    </row>
    <row r="70" spans="2:15" ht="15.75">
      <c r="B70" s="22"/>
      <c r="C70" s="23"/>
      <c r="D70" s="47" t="s">
        <v>10</v>
      </c>
      <c r="E70" s="45" t="s">
        <v>46</v>
      </c>
      <c r="F70" s="24"/>
      <c r="G70" s="24"/>
      <c r="H70" s="26"/>
      <c r="I70" s="48">
        <v>0</v>
      </c>
      <c r="J70" s="49"/>
      <c r="K70" s="50">
        <f t="shared" ref="K70:L70" si="40">SUM(K71:K72)</f>
        <v>0</v>
      </c>
      <c r="L70" s="48">
        <f t="shared" si="40"/>
        <v>0</v>
      </c>
      <c r="M70" s="49"/>
      <c r="N70" s="50">
        <f>SUM(N71:N72)</f>
        <v>0</v>
      </c>
      <c r="O70" s="29" t="e">
        <f t="shared" si="39"/>
        <v>#DIV/0!</v>
      </c>
    </row>
    <row r="71" spans="2:15" ht="15.75">
      <c r="B71" s="22"/>
      <c r="C71" s="23"/>
      <c r="D71" s="24"/>
      <c r="E71" s="24" t="s">
        <v>33</v>
      </c>
      <c r="F71" s="25" t="s">
        <v>34</v>
      </c>
      <c r="G71" s="24"/>
      <c r="H71" s="26"/>
      <c r="I71" s="27">
        <v>0</v>
      </c>
      <c r="J71" s="28">
        <v>100000</v>
      </c>
      <c r="K71" s="28">
        <f t="shared" ref="K71:K72" si="41">I71*J71</f>
        <v>0</v>
      </c>
      <c r="L71" s="27">
        <f>'[1]L. MAT 09 STNKLBN'!G16</f>
        <v>0</v>
      </c>
      <c r="M71" s="28">
        <v>100000</v>
      </c>
      <c r="N71" s="28">
        <f t="shared" ref="N71:N72" si="42">L71*M71</f>
        <v>0</v>
      </c>
      <c r="O71" s="29" t="e">
        <f t="shared" si="39"/>
        <v>#DIV/0!</v>
      </c>
    </row>
    <row r="72" spans="2:15" ht="15.75">
      <c r="B72" s="22"/>
      <c r="C72" s="23"/>
      <c r="D72" s="24"/>
      <c r="E72" s="24" t="s">
        <v>35</v>
      </c>
      <c r="F72" s="25" t="s">
        <v>36</v>
      </c>
      <c r="G72" s="24"/>
      <c r="H72" s="26"/>
      <c r="I72" s="27">
        <v>0</v>
      </c>
      <c r="J72" s="28">
        <v>100000</v>
      </c>
      <c r="K72" s="28">
        <f t="shared" si="41"/>
        <v>0</v>
      </c>
      <c r="L72" s="27">
        <f>'[1]L. MAT 09 STNKLBN'!I16</f>
        <v>0</v>
      </c>
      <c r="M72" s="28">
        <v>100000</v>
      </c>
      <c r="N72" s="28">
        <f t="shared" si="42"/>
        <v>0</v>
      </c>
      <c r="O72" s="29" t="e">
        <f t="shared" si="39"/>
        <v>#DIV/0!</v>
      </c>
    </row>
    <row r="73" spans="2:15" ht="15.75">
      <c r="B73" s="22"/>
      <c r="C73" s="23"/>
      <c r="D73" s="47" t="s">
        <v>12</v>
      </c>
      <c r="E73" s="45" t="s">
        <v>40</v>
      </c>
      <c r="F73" s="24"/>
      <c r="G73" s="24"/>
      <c r="H73" s="26"/>
      <c r="I73" s="48">
        <v>0</v>
      </c>
      <c r="J73" s="49"/>
      <c r="K73" s="50">
        <f t="shared" ref="K73:L73" si="43">SUM(K74:K75)</f>
        <v>0</v>
      </c>
      <c r="L73" s="48">
        <f t="shared" si="43"/>
        <v>0</v>
      </c>
      <c r="M73" s="49"/>
      <c r="N73" s="50">
        <f>SUM(N74:N75)</f>
        <v>0</v>
      </c>
      <c r="O73" s="29" t="e">
        <f t="shared" si="39"/>
        <v>#DIV/0!</v>
      </c>
    </row>
    <row r="74" spans="2:15" ht="15.75">
      <c r="B74" s="22"/>
      <c r="C74" s="23"/>
      <c r="D74" s="24"/>
      <c r="E74" s="24" t="s">
        <v>33</v>
      </c>
      <c r="F74" s="25" t="s">
        <v>34</v>
      </c>
      <c r="G74" s="24"/>
      <c r="H74" s="26"/>
      <c r="I74" s="27">
        <v>0</v>
      </c>
      <c r="J74" s="28">
        <v>200000</v>
      </c>
      <c r="K74" s="28">
        <f t="shared" ref="K74:K75" si="44">I74*J74</f>
        <v>0</v>
      </c>
      <c r="L74" s="27">
        <f>'[1]L. MAT 09 STNKLBN'!H16</f>
        <v>0</v>
      </c>
      <c r="M74" s="28">
        <v>200000</v>
      </c>
      <c r="N74" s="28">
        <f t="shared" ref="N74:N75" si="45">L74*M74</f>
        <v>0</v>
      </c>
      <c r="O74" s="29" t="e">
        <f t="shared" si="39"/>
        <v>#DIV/0!</v>
      </c>
    </row>
    <row r="75" spans="2:15" ht="15.75">
      <c r="B75" s="22"/>
      <c r="C75" s="23"/>
      <c r="D75" s="24"/>
      <c r="E75" s="24" t="s">
        <v>35</v>
      </c>
      <c r="F75" s="25" t="s">
        <v>36</v>
      </c>
      <c r="G75" s="24"/>
      <c r="H75" s="26"/>
      <c r="I75" s="27">
        <v>0</v>
      </c>
      <c r="J75" s="28">
        <v>200000</v>
      </c>
      <c r="K75" s="28">
        <f t="shared" si="44"/>
        <v>0</v>
      </c>
      <c r="L75" s="27">
        <f>'[1]L. MAT 09 STNKLBN'!J16</f>
        <v>0</v>
      </c>
      <c r="M75" s="28">
        <v>200000</v>
      </c>
      <c r="N75" s="28">
        <f t="shared" si="45"/>
        <v>0</v>
      </c>
      <c r="O75" s="29" t="e">
        <f t="shared" si="39"/>
        <v>#DIV/0!</v>
      </c>
    </row>
    <row r="76" spans="2:15" ht="15.75">
      <c r="B76" s="51"/>
      <c r="C76" s="52"/>
      <c r="D76" s="53"/>
      <c r="E76" s="53"/>
      <c r="F76" s="54"/>
      <c r="G76" s="53"/>
      <c r="H76" s="55"/>
      <c r="I76" s="56"/>
      <c r="J76" s="68"/>
      <c r="K76" s="68"/>
      <c r="L76" s="56"/>
      <c r="M76" s="68"/>
      <c r="N76" s="68"/>
      <c r="O76" s="59"/>
    </row>
    <row r="77" spans="2:15" ht="15.75">
      <c r="B77" s="31"/>
      <c r="C77" s="32">
        <v>11</v>
      </c>
      <c r="D77" s="33" t="s">
        <v>48</v>
      </c>
      <c r="E77" s="42"/>
      <c r="F77" s="34"/>
      <c r="G77" s="34"/>
      <c r="H77" s="35"/>
      <c r="I77" s="36">
        <v>0</v>
      </c>
      <c r="J77" s="37"/>
      <c r="K77" s="38">
        <f t="shared" ref="K77:L77" si="46">K78+K81</f>
        <v>0</v>
      </c>
      <c r="L77" s="36">
        <f t="shared" si="46"/>
        <v>0</v>
      </c>
      <c r="M77" s="37"/>
      <c r="N77" s="38">
        <f>N78+N81</f>
        <v>0</v>
      </c>
      <c r="O77" s="39" t="e">
        <f t="shared" ref="O77:O83" si="47">N77/K77</f>
        <v>#DIV/0!</v>
      </c>
    </row>
    <row r="78" spans="2:15" ht="15.75">
      <c r="B78" s="22"/>
      <c r="C78" s="23"/>
      <c r="D78" s="47" t="s">
        <v>10</v>
      </c>
      <c r="E78" s="45" t="s">
        <v>46</v>
      </c>
      <c r="F78" s="24"/>
      <c r="G78" s="24"/>
      <c r="H78" s="26"/>
      <c r="I78" s="48">
        <v>0</v>
      </c>
      <c r="J78" s="49"/>
      <c r="K78" s="50">
        <f t="shared" ref="K78:L78" si="48">SUM(K79:K80)</f>
        <v>0</v>
      </c>
      <c r="L78" s="48">
        <f t="shared" si="48"/>
        <v>0</v>
      </c>
      <c r="M78" s="49"/>
      <c r="N78" s="50">
        <f>SUM(N79:N80)</f>
        <v>0</v>
      </c>
      <c r="O78" s="29" t="e">
        <f t="shared" si="47"/>
        <v>#DIV/0!</v>
      </c>
    </row>
    <row r="79" spans="2:15" ht="15.75">
      <c r="B79" s="22"/>
      <c r="C79" s="23"/>
      <c r="D79" s="24"/>
      <c r="E79" s="24" t="s">
        <v>33</v>
      </c>
      <c r="F79" s="25" t="s">
        <v>34</v>
      </c>
      <c r="G79" s="24"/>
      <c r="H79" s="26"/>
      <c r="I79" s="27">
        <v>0</v>
      </c>
      <c r="J79" s="28">
        <v>100000</v>
      </c>
      <c r="K79" s="28">
        <f t="shared" ref="K79:K80" si="49">I79*J79</f>
        <v>0</v>
      </c>
      <c r="L79" s="27">
        <f>'[1]L. MAT 10 TNKB LBN'!G16</f>
        <v>0</v>
      </c>
      <c r="M79" s="28">
        <v>100000</v>
      </c>
      <c r="N79" s="28">
        <f t="shared" ref="N79:N80" si="50">L79*M79</f>
        <v>0</v>
      </c>
      <c r="O79" s="29" t="e">
        <f t="shared" si="47"/>
        <v>#DIV/0!</v>
      </c>
    </row>
    <row r="80" spans="2:15" ht="15.75">
      <c r="B80" s="22"/>
      <c r="C80" s="23"/>
      <c r="D80" s="24"/>
      <c r="E80" s="24" t="s">
        <v>35</v>
      </c>
      <c r="F80" s="25" t="s">
        <v>36</v>
      </c>
      <c r="G80" s="24"/>
      <c r="H80" s="26"/>
      <c r="I80" s="27"/>
      <c r="J80" s="28">
        <v>100000</v>
      </c>
      <c r="K80" s="28">
        <f t="shared" si="49"/>
        <v>0</v>
      </c>
      <c r="L80" s="27">
        <f>'[1]L. MAT 10 TNKB LBN'!I16</f>
        <v>0</v>
      </c>
      <c r="M80" s="28">
        <v>100000</v>
      </c>
      <c r="N80" s="28">
        <f t="shared" si="50"/>
        <v>0</v>
      </c>
      <c r="O80" s="29" t="e">
        <f t="shared" si="47"/>
        <v>#DIV/0!</v>
      </c>
    </row>
    <row r="81" spans="2:15" ht="15.75">
      <c r="B81" s="22"/>
      <c r="C81" s="23"/>
      <c r="D81" s="47" t="s">
        <v>12</v>
      </c>
      <c r="E81" s="45" t="s">
        <v>40</v>
      </c>
      <c r="F81" s="24"/>
      <c r="G81" s="24"/>
      <c r="H81" s="26"/>
      <c r="I81" s="48">
        <v>0</v>
      </c>
      <c r="J81" s="49"/>
      <c r="K81" s="50">
        <f t="shared" ref="K81:L81" si="51">SUM(K82:K83)</f>
        <v>0</v>
      </c>
      <c r="L81" s="48">
        <f t="shared" si="51"/>
        <v>0</v>
      </c>
      <c r="M81" s="49"/>
      <c r="N81" s="50">
        <f>SUM(N82:N83)</f>
        <v>0</v>
      </c>
      <c r="O81" s="29" t="e">
        <f t="shared" si="47"/>
        <v>#DIV/0!</v>
      </c>
    </row>
    <row r="82" spans="2:15" ht="15.75">
      <c r="B82" s="22"/>
      <c r="C82" s="23"/>
      <c r="D82" s="24"/>
      <c r="E82" s="24" t="s">
        <v>33</v>
      </c>
      <c r="F82" s="25" t="s">
        <v>34</v>
      </c>
      <c r="G82" s="24"/>
      <c r="H82" s="26"/>
      <c r="I82" s="27">
        <v>0</v>
      </c>
      <c r="J82" s="28">
        <v>200000</v>
      </c>
      <c r="K82" s="28">
        <f t="shared" ref="K82:K83" si="52">I82*J82</f>
        <v>0</v>
      </c>
      <c r="L82" s="27">
        <f>'[1]L. MAT 10 TNKB LBN'!H16</f>
        <v>0</v>
      </c>
      <c r="M82" s="28">
        <v>200000</v>
      </c>
      <c r="N82" s="28">
        <f t="shared" ref="N82:N83" si="53">L82*M82</f>
        <v>0</v>
      </c>
      <c r="O82" s="29" t="e">
        <f t="shared" si="47"/>
        <v>#DIV/0!</v>
      </c>
    </row>
    <row r="83" spans="2:15" ht="15.75">
      <c r="B83" s="22"/>
      <c r="C83" s="23"/>
      <c r="D83" s="24"/>
      <c r="E83" s="24" t="s">
        <v>35</v>
      </c>
      <c r="F83" s="25" t="s">
        <v>36</v>
      </c>
      <c r="G83" s="24"/>
      <c r="H83" s="26"/>
      <c r="I83" s="27">
        <v>0</v>
      </c>
      <c r="J83" s="28">
        <v>200000</v>
      </c>
      <c r="K83" s="28">
        <f t="shared" si="52"/>
        <v>0</v>
      </c>
      <c r="L83" s="27">
        <f>'[1]L. MAT 10 TNKB LBN'!J16</f>
        <v>0</v>
      </c>
      <c r="M83" s="28">
        <v>200000</v>
      </c>
      <c r="N83" s="28">
        <f t="shared" si="53"/>
        <v>0</v>
      </c>
      <c r="O83" s="29" t="e">
        <f t="shared" si="47"/>
        <v>#DIV/0!</v>
      </c>
    </row>
    <row r="84" spans="2:15" ht="15.75">
      <c r="B84" s="22"/>
      <c r="C84" s="23"/>
      <c r="D84" s="24"/>
      <c r="E84" s="25"/>
      <c r="F84" s="24"/>
      <c r="G84" s="24"/>
      <c r="H84" s="26"/>
      <c r="I84" s="27"/>
      <c r="J84" s="49"/>
      <c r="K84" s="41"/>
      <c r="L84" s="27"/>
      <c r="M84" s="49"/>
      <c r="N84" s="41"/>
      <c r="O84" s="29"/>
    </row>
    <row r="85" spans="2:15" ht="15.75">
      <c r="B85" s="31"/>
      <c r="C85" s="32">
        <v>12</v>
      </c>
      <c r="D85" s="33" t="s">
        <v>49</v>
      </c>
      <c r="E85" s="42"/>
      <c r="F85" s="42"/>
      <c r="G85" s="42"/>
      <c r="H85" s="35"/>
      <c r="I85" s="36">
        <v>12000</v>
      </c>
      <c r="J85" s="37"/>
      <c r="K85" s="38">
        <f t="shared" ref="K85:L85" si="54">+K86+K89+K92+K95</f>
        <v>99500000000</v>
      </c>
      <c r="L85" s="36">
        <f t="shared" si="54"/>
        <v>685</v>
      </c>
      <c r="M85" s="37"/>
      <c r="N85" s="38">
        <f>+N86+N89+N92+N95</f>
        <v>6077500000</v>
      </c>
      <c r="O85" s="39">
        <f t="shared" ref="O85:O97" si="55">N85/K85</f>
        <v>6.1080402010050251E-2</v>
      </c>
    </row>
    <row r="86" spans="2:15" ht="15.75">
      <c r="B86" s="22"/>
      <c r="C86" s="23"/>
      <c r="D86" s="47" t="s">
        <v>10</v>
      </c>
      <c r="E86" s="45" t="s">
        <v>50</v>
      </c>
      <c r="F86" s="24"/>
      <c r="G86" s="24"/>
      <c r="H86" s="26"/>
      <c r="I86" s="48">
        <v>1053</v>
      </c>
      <c r="J86" s="49"/>
      <c r="K86" s="50">
        <f t="shared" ref="K86:L86" si="56">SUM(K87:K88)</f>
        <v>16585000000</v>
      </c>
      <c r="L86" s="48">
        <f t="shared" si="56"/>
        <v>86</v>
      </c>
      <c r="M86" s="49"/>
      <c r="N86" s="50">
        <f>SUM(N87:N88)</f>
        <v>1295000000</v>
      </c>
      <c r="O86" s="29">
        <f t="shared" si="55"/>
        <v>7.8082604763340363E-2</v>
      </c>
    </row>
    <row r="87" spans="2:15" ht="15.75">
      <c r="B87" s="22"/>
      <c r="C87" s="23"/>
      <c r="D87" s="24"/>
      <c r="E87" s="24" t="s">
        <v>33</v>
      </c>
      <c r="F87" s="25" t="s">
        <v>51</v>
      </c>
      <c r="G87" s="24"/>
      <c r="H87" s="26"/>
      <c r="I87" s="27">
        <v>158</v>
      </c>
      <c r="J87" s="28">
        <v>20000000</v>
      </c>
      <c r="K87" s="28">
        <f t="shared" ref="K87:K88" si="57">I87*J87</f>
        <v>3160000000</v>
      </c>
      <c r="L87" s="27">
        <v>1</v>
      </c>
      <c r="M87" s="28">
        <v>20000000</v>
      </c>
      <c r="N87" s="28">
        <f t="shared" ref="N87:N88" si="58">L87*M87</f>
        <v>20000000</v>
      </c>
      <c r="O87" s="29">
        <f t="shared" si="55"/>
        <v>6.3291139240506328E-3</v>
      </c>
    </row>
    <row r="88" spans="2:15" ht="15.75">
      <c r="B88" s="22"/>
      <c r="C88" s="23"/>
      <c r="D88" s="24"/>
      <c r="E88" s="24" t="s">
        <v>35</v>
      </c>
      <c r="F88" s="25" t="s">
        <v>52</v>
      </c>
      <c r="G88" s="24"/>
      <c r="H88" s="26"/>
      <c r="I88" s="27">
        <v>895</v>
      </c>
      <c r="J88" s="28">
        <v>15000000</v>
      </c>
      <c r="K88" s="28">
        <f t="shared" si="57"/>
        <v>13425000000</v>
      </c>
      <c r="L88" s="27">
        <v>85</v>
      </c>
      <c r="M88" s="28">
        <v>15000000</v>
      </c>
      <c r="N88" s="28">
        <f t="shared" si="58"/>
        <v>1275000000</v>
      </c>
      <c r="O88" s="29">
        <f t="shared" si="55"/>
        <v>9.4972067039106142E-2</v>
      </c>
    </row>
    <row r="89" spans="2:15" ht="15.75">
      <c r="B89" s="22"/>
      <c r="C89" s="23"/>
      <c r="D89" s="47" t="s">
        <v>12</v>
      </c>
      <c r="E89" s="45" t="s">
        <v>53</v>
      </c>
      <c r="F89" s="24"/>
      <c r="G89" s="24"/>
      <c r="H89" s="26"/>
      <c r="I89" s="48">
        <v>2383</v>
      </c>
      <c r="J89" s="49"/>
      <c r="K89" s="50">
        <f t="shared" ref="K89:L89" si="59">SUM(K90:K91)</f>
        <v>25435000000</v>
      </c>
      <c r="L89" s="48">
        <f t="shared" si="59"/>
        <v>144</v>
      </c>
      <c r="M89" s="49"/>
      <c r="N89" s="50">
        <f>SUM(N90:N91)</f>
        <v>1475000000</v>
      </c>
      <c r="O89" s="29">
        <f t="shared" si="55"/>
        <v>5.7990957342244936E-2</v>
      </c>
    </row>
    <row r="90" spans="2:15" ht="15.75">
      <c r="B90" s="22"/>
      <c r="C90" s="23"/>
      <c r="D90" s="24"/>
      <c r="E90" s="24" t="s">
        <v>33</v>
      </c>
      <c r="F90" s="25" t="s">
        <v>51</v>
      </c>
      <c r="G90" s="24"/>
      <c r="H90" s="26"/>
      <c r="I90" s="27">
        <v>321</v>
      </c>
      <c r="J90" s="28">
        <v>15000000</v>
      </c>
      <c r="K90" s="28">
        <f t="shared" ref="K90:K91" si="60">I90*J90</f>
        <v>4815000000</v>
      </c>
      <c r="L90" s="27">
        <v>7</v>
      </c>
      <c r="M90" s="28">
        <v>15000000</v>
      </c>
      <c r="N90" s="28">
        <f t="shared" ref="N90:N91" si="61">L90*M90</f>
        <v>105000000</v>
      </c>
      <c r="O90" s="29">
        <f t="shared" si="55"/>
        <v>2.1806853582554516E-2</v>
      </c>
    </row>
    <row r="91" spans="2:15" ht="15">
      <c r="B91" s="69"/>
      <c r="C91" s="70"/>
      <c r="D91" s="25"/>
      <c r="E91" s="24" t="s">
        <v>35</v>
      </c>
      <c r="F91" s="25" t="s">
        <v>52</v>
      </c>
      <c r="G91" s="25"/>
      <c r="H91" s="71"/>
      <c r="I91" s="27">
        <v>2062</v>
      </c>
      <c r="J91" s="28">
        <v>10000000</v>
      </c>
      <c r="K91" s="28">
        <f t="shared" si="60"/>
        <v>20620000000</v>
      </c>
      <c r="L91" s="27">
        <v>137</v>
      </c>
      <c r="M91" s="28">
        <v>10000000</v>
      </c>
      <c r="N91" s="28">
        <f t="shared" si="61"/>
        <v>1370000000</v>
      </c>
      <c r="O91" s="29">
        <f t="shared" si="55"/>
        <v>6.6440349175557717E-2</v>
      </c>
    </row>
    <row r="92" spans="2:15" ht="15.75">
      <c r="B92" s="69"/>
      <c r="C92" s="70"/>
      <c r="D92" s="47" t="s">
        <v>14</v>
      </c>
      <c r="E92" s="45" t="s">
        <v>54</v>
      </c>
      <c r="F92" s="25"/>
      <c r="G92" s="25"/>
      <c r="H92" s="71"/>
      <c r="I92" s="48">
        <v>4609</v>
      </c>
      <c r="J92" s="28"/>
      <c r="K92" s="50">
        <f t="shared" ref="K92:L92" si="62">SUM(K93:K94)</f>
        <v>35915000000</v>
      </c>
      <c r="L92" s="48">
        <f t="shared" si="62"/>
        <v>355</v>
      </c>
      <c r="M92" s="28"/>
      <c r="N92" s="50">
        <f>SUM(N93:N94)</f>
        <v>2717500000</v>
      </c>
      <c r="O92" s="29">
        <f t="shared" si="55"/>
        <v>7.5664764026172907E-2</v>
      </c>
    </row>
    <row r="93" spans="2:15" ht="15">
      <c r="B93" s="69"/>
      <c r="C93" s="70"/>
      <c r="D93" s="24"/>
      <c r="E93" s="24" t="s">
        <v>33</v>
      </c>
      <c r="F93" s="25" t="s">
        <v>51</v>
      </c>
      <c r="G93" s="25"/>
      <c r="H93" s="71"/>
      <c r="I93" s="27">
        <v>539</v>
      </c>
      <c r="J93" s="28">
        <v>10000000</v>
      </c>
      <c r="K93" s="28">
        <f t="shared" ref="K93:K94" si="63">I93*J93</f>
        <v>5390000000</v>
      </c>
      <c r="L93" s="27">
        <v>22</v>
      </c>
      <c r="M93" s="28">
        <v>10000000</v>
      </c>
      <c r="N93" s="28">
        <f t="shared" ref="N93:N94" si="64">L93*M93</f>
        <v>220000000</v>
      </c>
      <c r="O93" s="29">
        <f t="shared" si="55"/>
        <v>4.0816326530612242E-2</v>
      </c>
    </row>
    <row r="94" spans="2:15" ht="15">
      <c r="B94" s="69"/>
      <c r="C94" s="70"/>
      <c r="D94" s="24"/>
      <c r="E94" s="24" t="s">
        <v>35</v>
      </c>
      <c r="F94" s="25" t="s">
        <v>52</v>
      </c>
      <c r="G94" s="25"/>
      <c r="H94" s="71"/>
      <c r="I94" s="27">
        <v>4070</v>
      </c>
      <c r="J94" s="28">
        <v>7500000</v>
      </c>
      <c r="K94" s="28">
        <f t="shared" si="63"/>
        <v>30525000000</v>
      </c>
      <c r="L94" s="27">
        <v>333</v>
      </c>
      <c r="M94" s="28">
        <v>7500000</v>
      </c>
      <c r="N94" s="28">
        <f t="shared" si="64"/>
        <v>2497500000</v>
      </c>
      <c r="O94" s="29">
        <f t="shared" si="55"/>
        <v>8.1818181818181818E-2</v>
      </c>
    </row>
    <row r="95" spans="2:15" ht="15.75">
      <c r="B95" s="69"/>
      <c r="C95" s="70"/>
      <c r="D95" s="47" t="s">
        <v>16</v>
      </c>
      <c r="E95" s="45" t="s">
        <v>55</v>
      </c>
      <c r="F95" s="25"/>
      <c r="G95" s="25"/>
      <c r="H95" s="71"/>
      <c r="I95" s="48">
        <v>3955</v>
      </c>
      <c r="J95" s="28"/>
      <c r="K95" s="50">
        <f t="shared" ref="K95:L95" si="65">SUM(K96:K97)</f>
        <v>21565000000</v>
      </c>
      <c r="L95" s="48">
        <f t="shared" si="65"/>
        <v>100</v>
      </c>
      <c r="M95" s="28"/>
      <c r="N95" s="50">
        <f>SUM(N96:N97)</f>
        <v>590000000</v>
      </c>
      <c r="O95" s="29">
        <f t="shared" si="55"/>
        <v>2.7359146765592396E-2</v>
      </c>
    </row>
    <row r="96" spans="2:15" ht="15">
      <c r="B96" s="69"/>
      <c r="C96" s="70"/>
      <c r="D96" s="25"/>
      <c r="E96" s="24" t="s">
        <v>33</v>
      </c>
      <c r="F96" s="25" t="s">
        <v>51</v>
      </c>
      <c r="G96" s="25"/>
      <c r="H96" s="71"/>
      <c r="I96" s="27">
        <v>716</v>
      </c>
      <c r="J96" s="28">
        <v>7500000</v>
      </c>
      <c r="K96" s="28">
        <f t="shared" ref="K96:K97" si="66">I96*J96</f>
        <v>5370000000</v>
      </c>
      <c r="L96" s="27">
        <v>36</v>
      </c>
      <c r="M96" s="28">
        <v>7500000</v>
      </c>
      <c r="N96" s="28">
        <f t="shared" ref="N96:N97" si="67">L96*M96</f>
        <v>270000000</v>
      </c>
      <c r="O96" s="29">
        <f t="shared" si="55"/>
        <v>5.027932960893855E-2</v>
      </c>
    </row>
    <row r="97" spans="2:15" ht="15">
      <c r="B97" s="69"/>
      <c r="C97" s="70"/>
      <c r="D97" s="25"/>
      <c r="E97" s="24" t="s">
        <v>35</v>
      </c>
      <c r="F97" s="25" t="s">
        <v>52</v>
      </c>
      <c r="G97" s="25"/>
      <c r="H97" s="71"/>
      <c r="I97" s="27">
        <v>3239</v>
      </c>
      <c r="J97" s="28">
        <v>5000000</v>
      </c>
      <c r="K97" s="28">
        <f t="shared" si="66"/>
        <v>16195000000</v>
      </c>
      <c r="L97" s="27">
        <v>64</v>
      </c>
      <c r="M97" s="28">
        <v>5000000</v>
      </c>
      <c r="N97" s="28">
        <f t="shared" si="67"/>
        <v>320000000</v>
      </c>
      <c r="O97" s="29">
        <f t="shared" si="55"/>
        <v>1.9759184933621488E-2</v>
      </c>
    </row>
    <row r="98" spans="2:15" ht="15">
      <c r="B98" s="72"/>
      <c r="C98" s="73"/>
      <c r="D98" s="74"/>
      <c r="E98" s="74"/>
      <c r="F98" s="74"/>
      <c r="G98" s="74"/>
      <c r="H98" s="75"/>
      <c r="I98" s="76"/>
      <c r="J98" s="77"/>
      <c r="K98" s="78"/>
      <c r="L98" s="76"/>
      <c r="M98" s="77"/>
      <c r="N98" s="78"/>
      <c r="O98" s="79"/>
    </row>
    <row r="99" spans="2:15" ht="15.75">
      <c r="B99" s="80"/>
      <c r="C99" s="105" t="s">
        <v>56</v>
      </c>
      <c r="D99" s="103"/>
      <c r="E99" s="103"/>
      <c r="F99" s="103"/>
      <c r="G99" s="103"/>
      <c r="H99" s="104"/>
      <c r="I99" s="81">
        <f>SUM(I13,I24,I35,I37,I45,I49,I53,I57,I65,I69,I77,I85)</f>
        <v>19337001</v>
      </c>
      <c r="J99" s="81"/>
      <c r="K99" s="81">
        <f>SUM(K13,K24,K35,K37,K45,K49,K53,K57,K65,K69,K77,K85)</f>
        <v>2210588370000</v>
      </c>
      <c r="L99" s="81">
        <f>SUM(L13,L24,L35,L37,L45,L49,L53,L57,L65,L69,L77,L85)</f>
        <v>862878</v>
      </c>
      <c r="M99" s="81"/>
      <c r="N99" s="81">
        <f>SUM(N13,N24,N35,N37,N45,N49,N53,N57,N65,N69,N77,N85)</f>
        <v>98423535000</v>
      </c>
      <c r="O99" s="82">
        <f>N99/K99</f>
        <v>4.4523682624820829E-2</v>
      </c>
    </row>
    <row r="100" spans="2:15" ht="15.75">
      <c r="B100" s="83"/>
      <c r="C100" s="84"/>
      <c r="D100" s="84"/>
      <c r="E100" s="84"/>
      <c r="F100" s="84"/>
      <c r="G100" s="84"/>
      <c r="H100" s="84"/>
      <c r="I100" s="85"/>
      <c r="J100" s="84"/>
      <c r="K100" s="84"/>
      <c r="L100" s="85"/>
      <c r="M100" s="84"/>
      <c r="N100" s="86"/>
      <c r="O100" s="87"/>
    </row>
    <row r="101" spans="2:15" ht="15.75">
      <c r="B101" s="83"/>
      <c r="C101" s="88"/>
      <c r="D101" s="84"/>
      <c r="E101" s="84"/>
      <c r="F101" s="84"/>
      <c r="G101" s="84"/>
      <c r="H101" s="84"/>
      <c r="I101" s="84"/>
      <c r="J101" s="84"/>
      <c r="K101" s="84"/>
      <c r="L101" s="84"/>
      <c r="M101" s="106"/>
      <c r="N101" s="100"/>
      <c r="O101" s="100"/>
    </row>
    <row r="102" spans="2:15" ht="15.75">
      <c r="B102" s="101"/>
      <c r="C102" s="100"/>
      <c r="D102" s="100"/>
      <c r="E102" s="100"/>
      <c r="F102" s="100"/>
      <c r="G102" s="84"/>
      <c r="H102" s="84"/>
      <c r="I102" s="84"/>
      <c r="J102" s="84"/>
      <c r="K102" s="84"/>
      <c r="L102" s="84"/>
      <c r="M102" s="101"/>
      <c r="N102" s="100"/>
      <c r="O102" s="100"/>
    </row>
    <row r="103" spans="2:15" ht="15.75">
      <c r="B103" s="89"/>
      <c r="C103" s="89"/>
      <c r="D103" s="89"/>
      <c r="E103" s="84"/>
      <c r="F103" s="84"/>
      <c r="G103" s="84"/>
      <c r="H103" s="84"/>
      <c r="I103" s="86"/>
      <c r="J103" s="86"/>
      <c r="K103" s="86"/>
      <c r="L103" s="86"/>
      <c r="M103" s="89"/>
      <c r="N103" s="89"/>
      <c r="O103" s="89"/>
    </row>
    <row r="104" spans="2:15" ht="15.75">
      <c r="B104" s="101"/>
      <c r="C104" s="100"/>
      <c r="D104" s="100"/>
      <c r="E104" s="100"/>
      <c r="F104" s="100"/>
      <c r="G104" s="84"/>
      <c r="H104" s="84"/>
      <c r="I104" s="84"/>
      <c r="J104" s="84"/>
      <c r="K104" s="84"/>
      <c r="L104" s="84"/>
      <c r="M104" s="101"/>
      <c r="N104" s="100"/>
      <c r="O104" s="100"/>
    </row>
    <row r="105" spans="2:15" ht="15.75">
      <c r="B105" s="89"/>
      <c r="C105" s="89"/>
      <c r="D105" s="89"/>
      <c r="E105" s="84"/>
      <c r="F105" s="84"/>
      <c r="G105" s="84"/>
      <c r="H105" s="84"/>
      <c r="I105" s="84"/>
      <c r="J105" s="84"/>
      <c r="K105" s="84"/>
      <c r="L105" s="84"/>
      <c r="M105" s="89"/>
      <c r="N105" s="89"/>
      <c r="O105" s="89"/>
    </row>
    <row r="106" spans="2:15" ht="15.75">
      <c r="B106" s="99"/>
      <c r="C106" s="100"/>
      <c r="D106" s="100"/>
      <c r="E106" s="100"/>
      <c r="F106" s="100"/>
      <c r="G106" s="84"/>
      <c r="H106" s="84"/>
      <c r="I106" s="84"/>
      <c r="J106" s="84"/>
      <c r="K106" s="84"/>
      <c r="L106" s="84"/>
      <c r="M106" s="99"/>
      <c r="N106" s="100"/>
      <c r="O106" s="100"/>
    </row>
    <row r="107" spans="2:15" ht="15.75">
      <c r="B107" s="101"/>
      <c r="C107" s="100"/>
      <c r="D107" s="100"/>
      <c r="E107" s="100"/>
      <c r="F107" s="100"/>
      <c r="G107" s="84"/>
      <c r="H107" s="84"/>
      <c r="I107" s="84"/>
      <c r="J107" s="84"/>
      <c r="K107" s="84"/>
      <c r="L107" s="84"/>
      <c r="M107" s="101"/>
      <c r="N107" s="100"/>
      <c r="O107" s="100"/>
    </row>
  </sheetData>
  <mergeCells count="20">
    <mergeCell ref="B2:G5"/>
    <mergeCell ref="B6:O6"/>
    <mergeCell ref="B7:O7"/>
    <mergeCell ref="B9:H9"/>
    <mergeCell ref="B10:B11"/>
    <mergeCell ref="C10:H11"/>
    <mergeCell ref="I10:K10"/>
    <mergeCell ref="L10:N10"/>
    <mergeCell ref="O10:O11"/>
    <mergeCell ref="B106:F106"/>
    <mergeCell ref="M106:O106"/>
    <mergeCell ref="B107:F107"/>
    <mergeCell ref="M107:O107"/>
    <mergeCell ref="C12:H12"/>
    <mergeCell ref="C99:H99"/>
    <mergeCell ref="M101:O101"/>
    <mergeCell ref="B102:F102"/>
    <mergeCell ref="M102:O102"/>
    <mergeCell ref="B104:F104"/>
    <mergeCell ref="M104:O10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7"/>
  <sheetViews>
    <sheetView topLeftCell="A31" workbookViewId="0">
      <selection activeCell="A48" sqref="A48:XFD51"/>
    </sheetView>
  </sheetViews>
  <sheetFormatPr defaultRowHeight="14.25"/>
  <cols>
    <col min="2" max="2" width="5.875" customWidth="1"/>
    <col min="3" max="10" width="16.125" customWidth="1"/>
    <col min="11" max="11" width="26.25" customWidth="1"/>
    <col min="12" max="13" width="16.125" customWidth="1"/>
    <col min="14" max="14" width="20.75" customWidth="1"/>
    <col min="15" max="15" width="16.125" customWidth="1"/>
  </cols>
  <sheetData>
    <row r="1" spans="2:15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2:15" ht="15">
      <c r="B2" s="107"/>
      <c r="C2" s="108"/>
      <c r="D2" s="108"/>
      <c r="E2" s="108"/>
      <c r="F2" s="108"/>
      <c r="G2" s="108"/>
      <c r="H2" s="3"/>
      <c r="I2" s="3"/>
      <c r="J2" s="3"/>
      <c r="K2" s="3"/>
      <c r="L2" s="3"/>
      <c r="M2" s="3"/>
      <c r="N2" s="3"/>
      <c r="O2" s="4"/>
    </row>
    <row r="3" spans="2:15" ht="15">
      <c r="B3" s="108"/>
      <c r="C3" s="100"/>
      <c r="D3" s="100"/>
      <c r="E3" s="100"/>
      <c r="F3" s="100"/>
      <c r="G3" s="108"/>
      <c r="H3" s="3"/>
      <c r="I3" s="3"/>
      <c r="J3" s="3"/>
      <c r="K3" s="3"/>
      <c r="L3" s="3"/>
      <c r="M3" s="3"/>
      <c r="N3" s="3"/>
      <c r="O3" s="4"/>
    </row>
    <row r="4" spans="2:15" ht="15.75">
      <c r="B4" s="108"/>
      <c r="C4" s="100"/>
      <c r="D4" s="100"/>
      <c r="E4" s="100"/>
      <c r="F4" s="100"/>
      <c r="G4" s="108"/>
      <c r="H4" s="5"/>
      <c r="I4" s="3"/>
      <c r="J4" s="6"/>
      <c r="K4" s="7"/>
      <c r="L4" s="3"/>
      <c r="M4" s="6"/>
      <c r="N4" s="7"/>
      <c r="O4" s="4"/>
    </row>
    <row r="5" spans="2:15" ht="15.75">
      <c r="B5" s="108"/>
      <c r="C5" s="108"/>
      <c r="D5" s="108"/>
      <c r="E5" s="108"/>
      <c r="F5" s="108"/>
      <c r="G5" s="108"/>
      <c r="H5" s="5"/>
      <c r="I5" s="5"/>
      <c r="J5" s="8"/>
      <c r="K5" s="6"/>
      <c r="L5" s="5"/>
      <c r="M5" s="8"/>
      <c r="N5" s="6"/>
      <c r="O5" s="4"/>
    </row>
    <row r="6" spans="2:15" ht="15.75">
      <c r="B6" s="109" t="s">
        <v>57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</row>
    <row r="7" spans="2:15" ht="15.75">
      <c r="B7" s="110" t="s">
        <v>67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</row>
    <row r="8" spans="2:15" ht="15.7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ht="15.75">
      <c r="B9" s="111"/>
      <c r="C9" s="108"/>
      <c r="D9" s="108"/>
      <c r="E9" s="108"/>
      <c r="F9" s="108"/>
      <c r="G9" s="108"/>
      <c r="H9" s="108"/>
      <c r="I9" s="11"/>
      <c r="J9" s="9"/>
      <c r="K9" s="11"/>
      <c r="L9" s="11"/>
      <c r="M9" s="9"/>
      <c r="N9" s="11"/>
      <c r="O9" s="4"/>
    </row>
    <row r="10" spans="2:15" ht="15.75">
      <c r="B10" s="112" t="s">
        <v>0</v>
      </c>
      <c r="C10" s="114" t="s">
        <v>1</v>
      </c>
      <c r="D10" s="115"/>
      <c r="E10" s="115"/>
      <c r="F10" s="115"/>
      <c r="G10" s="115"/>
      <c r="H10" s="116"/>
      <c r="I10" s="120" t="s">
        <v>2</v>
      </c>
      <c r="J10" s="103"/>
      <c r="K10" s="104"/>
      <c r="L10" s="120" t="s">
        <v>3</v>
      </c>
      <c r="M10" s="103"/>
      <c r="N10" s="104"/>
      <c r="O10" s="121" t="s">
        <v>4</v>
      </c>
    </row>
    <row r="11" spans="2:15" ht="15.75">
      <c r="B11" s="113"/>
      <c r="C11" s="117"/>
      <c r="D11" s="118"/>
      <c r="E11" s="118"/>
      <c r="F11" s="118"/>
      <c r="G11" s="118"/>
      <c r="H11" s="119"/>
      <c r="I11" s="12" t="s">
        <v>5</v>
      </c>
      <c r="J11" s="12" t="s">
        <v>6</v>
      </c>
      <c r="K11" s="12" t="s">
        <v>7</v>
      </c>
      <c r="L11" s="12" t="s">
        <v>5</v>
      </c>
      <c r="M11" s="12" t="s">
        <v>6</v>
      </c>
      <c r="N11" s="12" t="s">
        <v>8</v>
      </c>
      <c r="O11" s="122"/>
    </row>
    <row r="12" spans="2:15" ht="15.75">
      <c r="B12" s="12">
        <v>1</v>
      </c>
      <c r="C12" s="102">
        <v>2</v>
      </c>
      <c r="D12" s="103"/>
      <c r="E12" s="103"/>
      <c r="F12" s="103"/>
      <c r="G12" s="103"/>
      <c r="H12" s="104"/>
      <c r="I12" s="12">
        <v>3</v>
      </c>
      <c r="J12" s="12">
        <v>4</v>
      </c>
      <c r="K12" s="12">
        <v>5</v>
      </c>
      <c r="L12" s="12">
        <v>3</v>
      </c>
      <c r="M12" s="12">
        <v>4</v>
      </c>
      <c r="N12" s="12">
        <v>5</v>
      </c>
      <c r="O12" s="12">
        <v>6</v>
      </c>
    </row>
    <row r="13" spans="2:15" ht="15.75">
      <c r="B13" s="13"/>
      <c r="C13" s="14">
        <v>1</v>
      </c>
      <c r="D13" s="15" t="s">
        <v>9</v>
      </c>
      <c r="E13" s="16"/>
      <c r="F13" s="16"/>
      <c r="G13" s="16"/>
      <c r="H13" s="17"/>
      <c r="I13" s="18">
        <v>1002980</v>
      </c>
      <c r="J13" s="19"/>
      <c r="K13" s="20">
        <f t="shared" ref="K13:L13" si="0">SUM(K14:K22)</f>
        <v>106956030000</v>
      </c>
      <c r="L13" s="18">
        <f t="shared" si="0"/>
        <v>0</v>
      </c>
      <c r="M13" s="19"/>
      <c r="N13" s="20">
        <f>SUM(N14:N22)</f>
        <v>0</v>
      </c>
      <c r="O13" s="21">
        <f t="shared" ref="O13:O22" si="1">N13/K13</f>
        <v>0</v>
      </c>
    </row>
    <row r="14" spans="2:15" ht="15.75">
      <c r="B14" s="22"/>
      <c r="C14" s="23"/>
      <c r="D14" s="24" t="s">
        <v>10</v>
      </c>
      <c r="E14" s="25" t="s">
        <v>11</v>
      </c>
      <c r="F14" s="24"/>
      <c r="G14" s="24"/>
      <c r="H14" s="26"/>
      <c r="I14" s="27">
        <v>294130</v>
      </c>
      <c r="J14" s="28">
        <v>120000</v>
      </c>
      <c r="K14" s="28">
        <f t="shared" ref="K14:K22" si="2">I14*J14</f>
        <v>35295600000</v>
      </c>
      <c r="L14" s="27"/>
      <c r="M14" s="28">
        <v>120000</v>
      </c>
      <c r="N14" s="28">
        <f t="shared" ref="N14:N22" si="3">L14*M14</f>
        <v>0</v>
      </c>
      <c r="O14" s="29">
        <f t="shared" si="1"/>
        <v>0</v>
      </c>
    </row>
    <row r="15" spans="2:15" ht="15.75">
      <c r="B15" s="22"/>
      <c r="C15" s="23"/>
      <c r="D15" s="24" t="s">
        <v>12</v>
      </c>
      <c r="E15" s="25" t="s">
        <v>13</v>
      </c>
      <c r="F15" s="24"/>
      <c r="G15" s="24"/>
      <c r="H15" s="26"/>
      <c r="I15" s="27">
        <v>30304</v>
      </c>
      <c r="J15" s="28">
        <v>120000</v>
      </c>
      <c r="K15" s="28">
        <f t="shared" si="2"/>
        <v>3636480000</v>
      </c>
      <c r="L15" s="27"/>
      <c r="M15" s="28">
        <v>120000</v>
      </c>
      <c r="N15" s="28">
        <f t="shared" si="3"/>
        <v>0</v>
      </c>
      <c r="O15" s="29">
        <f t="shared" si="1"/>
        <v>0</v>
      </c>
    </row>
    <row r="16" spans="2:15" ht="15.75">
      <c r="B16" s="22"/>
      <c r="C16" s="23"/>
      <c r="D16" s="24" t="s">
        <v>14</v>
      </c>
      <c r="E16" s="25" t="s">
        <v>15</v>
      </c>
      <c r="F16" s="24"/>
      <c r="G16" s="24"/>
      <c r="H16" s="26"/>
      <c r="I16" s="27">
        <v>13370</v>
      </c>
      <c r="J16" s="28">
        <v>120000</v>
      </c>
      <c r="K16" s="28">
        <f t="shared" si="2"/>
        <v>1604400000</v>
      </c>
      <c r="L16" s="27"/>
      <c r="M16" s="28">
        <v>120000</v>
      </c>
      <c r="N16" s="28">
        <f t="shared" si="3"/>
        <v>0</v>
      </c>
      <c r="O16" s="29">
        <f t="shared" si="1"/>
        <v>0</v>
      </c>
    </row>
    <row r="17" spans="2:15" ht="15.75">
      <c r="B17" s="22"/>
      <c r="C17" s="23"/>
      <c r="D17" s="24" t="s">
        <v>16</v>
      </c>
      <c r="E17" s="25" t="s">
        <v>17</v>
      </c>
      <c r="F17" s="24"/>
      <c r="G17" s="24"/>
      <c r="H17" s="26"/>
      <c r="I17" s="27">
        <v>662649</v>
      </c>
      <c r="J17" s="28">
        <v>100000</v>
      </c>
      <c r="K17" s="28">
        <f t="shared" si="2"/>
        <v>66264900000</v>
      </c>
      <c r="L17" s="27"/>
      <c r="M17" s="28">
        <v>100000</v>
      </c>
      <c r="N17" s="28">
        <f t="shared" si="3"/>
        <v>0</v>
      </c>
      <c r="O17" s="29">
        <f t="shared" si="1"/>
        <v>0</v>
      </c>
    </row>
    <row r="18" spans="2:15" ht="15.75">
      <c r="B18" s="22"/>
      <c r="C18" s="23"/>
      <c r="D18" s="24" t="s">
        <v>18</v>
      </c>
      <c r="E18" s="25" t="s">
        <v>19</v>
      </c>
      <c r="F18" s="24"/>
      <c r="G18" s="24"/>
      <c r="H18" s="26"/>
      <c r="I18" s="27">
        <v>299</v>
      </c>
      <c r="J18" s="28">
        <v>100000</v>
      </c>
      <c r="K18" s="28">
        <f t="shared" si="2"/>
        <v>29900000</v>
      </c>
      <c r="L18" s="27"/>
      <c r="M18" s="28">
        <v>100000</v>
      </c>
      <c r="N18" s="28">
        <f t="shared" si="3"/>
        <v>0</v>
      </c>
      <c r="O18" s="29">
        <f t="shared" si="1"/>
        <v>0</v>
      </c>
    </row>
    <row r="19" spans="2:15" ht="15.75">
      <c r="B19" s="22"/>
      <c r="C19" s="23"/>
      <c r="D19" s="24" t="s">
        <v>20</v>
      </c>
      <c r="E19" s="25" t="s">
        <v>21</v>
      </c>
      <c r="F19" s="24"/>
      <c r="G19" s="24"/>
      <c r="H19" s="26"/>
      <c r="I19" s="27">
        <v>267</v>
      </c>
      <c r="J19" s="28">
        <v>100000</v>
      </c>
      <c r="K19" s="28">
        <f t="shared" si="2"/>
        <v>26700000</v>
      </c>
      <c r="L19" s="27"/>
      <c r="M19" s="28">
        <v>100000</v>
      </c>
      <c r="N19" s="28">
        <f t="shared" si="3"/>
        <v>0</v>
      </c>
      <c r="O19" s="29">
        <f t="shared" si="1"/>
        <v>0</v>
      </c>
    </row>
    <row r="20" spans="2:15" ht="15.75">
      <c r="B20" s="22"/>
      <c r="C20" s="23"/>
      <c r="D20" s="24" t="s">
        <v>22</v>
      </c>
      <c r="E20" s="25" t="s">
        <v>23</v>
      </c>
      <c r="F20" s="24"/>
      <c r="G20" s="24"/>
      <c r="H20" s="26"/>
      <c r="I20" s="27">
        <v>1925</v>
      </c>
      <c r="J20" s="28">
        <v>50000</v>
      </c>
      <c r="K20" s="28">
        <f t="shared" si="2"/>
        <v>96250000</v>
      </c>
      <c r="L20" s="27"/>
      <c r="M20" s="28">
        <v>50000</v>
      </c>
      <c r="N20" s="28">
        <f t="shared" si="3"/>
        <v>0</v>
      </c>
      <c r="O20" s="29">
        <f t="shared" si="1"/>
        <v>0</v>
      </c>
    </row>
    <row r="21" spans="2:15" ht="15.75">
      <c r="B21" s="22"/>
      <c r="C21" s="23"/>
      <c r="D21" s="24" t="s">
        <v>24</v>
      </c>
      <c r="E21" s="25" t="s">
        <v>25</v>
      </c>
      <c r="F21" s="24"/>
      <c r="G21" s="24"/>
      <c r="H21" s="26"/>
      <c r="I21" s="27">
        <v>36</v>
      </c>
      <c r="J21" s="28">
        <v>50000</v>
      </c>
      <c r="K21" s="28">
        <f t="shared" si="2"/>
        <v>1800000</v>
      </c>
      <c r="L21" s="27"/>
      <c r="M21" s="28">
        <v>50000</v>
      </c>
      <c r="N21" s="28">
        <f t="shared" si="3"/>
        <v>0</v>
      </c>
      <c r="O21" s="29">
        <f t="shared" si="1"/>
        <v>0</v>
      </c>
    </row>
    <row r="22" spans="2:15" ht="15.75">
      <c r="B22" s="22"/>
      <c r="C22" s="23"/>
      <c r="D22" s="24" t="s">
        <v>26</v>
      </c>
      <c r="E22" s="25" t="s">
        <v>27</v>
      </c>
      <c r="F22" s="24"/>
      <c r="G22" s="24"/>
      <c r="H22" s="26"/>
      <c r="I22" s="27">
        <v>0</v>
      </c>
      <c r="J22" s="28">
        <v>250000</v>
      </c>
      <c r="K22" s="28">
        <f t="shared" si="2"/>
        <v>0</v>
      </c>
      <c r="L22" s="27"/>
      <c r="M22" s="28">
        <v>250000</v>
      </c>
      <c r="N22" s="28">
        <f t="shared" si="3"/>
        <v>0</v>
      </c>
      <c r="O22" s="29" t="e">
        <f t="shared" si="1"/>
        <v>#DIV/0!</v>
      </c>
    </row>
    <row r="23" spans="2:15" ht="15.75">
      <c r="B23" s="22"/>
      <c r="C23" s="23"/>
      <c r="D23" s="24"/>
      <c r="E23" s="25"/>
      <c r="F23" s="24"/>
      <c r="G23" s="24"/>
      <c r="H23" s="26"/>
      <c r="I23" s="30"/>
      <c r="J23" s="28"/>
      <c r="K23" s="28"/>
      <c r="L23" s="30"/>
      <c r="M23" s="28"/>
      <c r="N23" s="28"/>
      <c r="O23" s="29"/>
    </row>
    <row r="24" spans="2:15" ht="15.75">
      <c r="B24" s="31"/>
      <c r="C24" s="32">
        <v>2</v>
      </c>
      <c r="D24" s="33" t="s">
        <v>28</v>
      </c>
      <c r="E24" s="34"/>
      <c r="F24" s="34"/>
      <c r="G24" s="34"/>
      <c r="H24" s="35"/>
      <c r="I24" s="36">
        <v>1997021</v>
      </c>
      <c r="J24" s="37"/>
      <c r="K24" s="38">
        <f t="shared" ref="K24:L24" si="4">SUM(K25:K33)</f>
        <v>153240870000</v>
      </c>
      <c r="L24" s="36">
        <f t="shared" si="4"/>
        <v>0</v>
      </c>
      <c r="M24" s="37"/>
      <c r="N24" s="38">
        <f>SUM(N25:N33)</f>
        <v>0</v>
      </c>
      <c r="O24" s="39">
        <f t="shared" ref="O24:O32" si="5">N24/K24</f>
        <v>0</v>
      </c>
    </row>
    <row r="25" spans="2:15" ht="15.75">
      <c r="B25" s="22"/>
      <c r="C25" s="23"/>
      <c r="D25" s="24" t="s">
        <v>10</v>
      </c>
      <c r="E25" s="25" t="s">
        <v>11</v>
      </c>
      <c r="F25" s="24"/>
      <c r="G25" s="24"/>
      <c r="H25" s="26"/>
      <c r="I25" s="27">
        <v>596792</v>
      </c>
      <c r="J25" s="28">
        <v>80000</v>
      </c>
      <c r="K25" s="28">
        <f t="shared" ref="K25:K33" si="6">I25*J25</f>
        <v>47743360000</v>
      </c>
      <c r="L25" s="27"/>
      <c r="M25" s="28">
        <v>80000</v>
      </c>
      <c r="N25" s="28">
        <f t="shared" ref="N25:N33" si="7">L25*M25</f>
        <v>0</v>
      </c>
      <c r="O25" s="29">
        <f t="shared" si="5"/>
        <v>0</v>
      </c>
    </row>
    <row r="26" spans="2:15" ht="15.75">
      <c r="B26" s="22"/>
      <c r="C26" s="23"/>
      <c r="D26" s="24" t="s">
        <v>12</v>
      </c>
      <c r="E26" s="25" t="s">
        <v>13</v>
      </c>
      <c r="F26" s="24"/>
      <c r="G26" s="24"/>
      <c r="H26" s="26"/>
      <c r="I26" s="27">
        <v>63576</v>
      </c>
      <c r="J26" s="28">
        <v>80000</v>
      </c>
      <c r="K26" s="28">
        <f t="shared" si="6"/>
        <v>5086080000</v>
      </c>
      <c r="L26" s="27"/>
      <c r="M26" s="28">
        <v>80000</v>
      </c>
      <c r="N26" s="28">
        <f t="shared" si="7"/>
        <v>0</v>
      </c>
      <c r="O26" s="29">
        <f t="shared" si="5"/>
        <v>0</v>
      </c>
    </row>
    <row r="27" spans="2:15" ht="15.75">
      <c r="B27" s="22"/>
      <c r="C27" s="23"/>
      <c r="D27" s="24" t="s">
        <v>14</v>
      </c>
      <c r="E27" s="25" t="s">
        <v>15</v>
      </c>
      <c r="F27" s="24"/>
      <c r="G27" s="24"/>
      <c r="H27" s="26"/>
      <c r="I27" s="27">
        <v>35983</v>
      </c>
      <c r="J27" s="28">
        <v>80000</v>
      </c>
      <c r="K27" s="28">
        <f t="shared" si="6"/>
        <v>2878640000</v>
      </c>
      <c r="L27" s="27"/>
      <c r="M27" s="28">
        <v>80000</v>
      </c>
      <c r="N27" s="28">
        <f t="shared" si="7"/>
        <v>0</v>
      </c>
      <c r="O27" s="29">
        <f t="shared" si="5"/>
        <v>0</v>
      </c>
    </row>
    <row r="28" spans="2:15" ht="15.75">
      <c r="B28" s="22"/>
      <c r="C28" s="23"/>
      <c r="D28" s="24" t="s">
        <v>16</v>
      </c>
      <c r="E28" s="25" t="s">
        <v>17</v>
      </c>
      <c r="F28" s="24"/>
      <c r="G28" s="24"/>
      <c r="H28" s="26"/>
      <c r="I28" s="27">
        <v>1296381</v>
      </c>
      <c r="J28" s="28">
        <v>75000</v>
      </c>
      <c r="K28" s="28">
        <f t="shared" si="6"/>
        <v>97228575000</v>
      </c>
      <c r="L28" s="27"/>
      <c r="M28" s="28">
        <v>75000</v>
      </c>
      <c r="N28" s="28">
        <f t="shared" si="7"/>
        <v>0</v>
      </c>
      <c r="O28" s="29">
        <f t="shared" si="5"/>
        <v>0</v>
      </c>
    </row>
    <row r="29" spans="2:15" ht="15.75">
      <c r="B29" s="22"/>
      <c r="C29" s="23"/>
      <c r="D29" s="24" t="s">
        <v>18</v>
      </c>
      <c r="E29" s="25" t="s">
        <v>19</v>
      </c>
      <c r="F29" s="24"/>
      <c r="G29" s="24"/>
      <c r="H29" s="26"/>
      <c r="I29" s="27">
        <v>3815</v>
      </c>
      <c r="J29" s="28">
        <v>75000</v>
      </c>
      <c r="K29" s="28">
        <f t="shared" si="6"/>
        <v>286125000</v>
      </c>
      <c r="L29" s="27"/>
      <c r="M29" s="28">
        <v>75000</v>
      </c>
      <c r="N29" s="28">
        <f t="shared" si="7"/>
        <v>0</v>
      </c>
      <c r="O29" s="29">
        <f t="shared" si="5"/>
        <v>0</v>
      </c>
    </row>
    <row r="30" spans="2:15" ht="15.75">
      <c r="B30" s="22"/>
      <c r="C30" s="23"/>
      <c r="D30" s="24" t="s">
        <v>20</v>
      </c>
      <c r="E30" s="25" t="s">
        <v>21</v>
      </c>
      <c r="F30" s="24"/>
      <c r="G30" s="24"/>
      <c r="H30" s="26"/>
      <c r="I30" s="27">
        <v>86</v>
      </c>
      <c r="J30" s="28">
        <v>75000</v>
      </c>
      <c r="K30" s="28">
        <f t="shared" si="6"/>
        <v>6450000</v>
      </c>
      <c r="L30" s="27"/>
      <c r="M30" s="28">
        <v>75000</v>
      </c>
      <c r="N30" s="28">
        <f t="shared" si="7"/>
        <v>0</v>
      </c>
      <c r="O30" s="29">
        <f t="shared" si="5"/>
        <v>0</v>
      </c>
    </row>
    <row r="31" spans="2:15" ht="15.75">
      <c r="B31" s="22"/>
      <c r="C31" s="23"/>
      <c r="D31" s="24" t="s">
        <v>22</v>
      </c>
      <c r="E31" s="25" t="s">
        <v>23</v>
      </c>
      <c r="F31" s="24"/>
      <c r="G31" s="24"/>
      <c r="H31" s="26"/>
      <c r="I31" s="27">
        <v>360</v>
      </c>
      <c r="J31" s="28">
        <v>30000</v>
      </c>
      <c r="K31" s="28">
        <f t="shared" si="6"/>
        <v>10800000</v>
      </c>
      <c r="L31" s="27"/>
      <c r="M31" s="28">
        <v>30000</v>
      </c>
      <c r="N31" s="28">
        <f t="shared" si="7"/>
        <v>0</v>
      </c>
      <c r="O31" s="29">
        <f t="shared" si="5"/>
        <v>0</v>
      </c>
    </row>
    <row r="32" spans="2:15" ht="15.75">
      <c r="B32" s="22"/>
      <c r="C32" s="23"/>
      <c r="D32" s="24" t="s">
        <v>24</v>
      </c>
      <c r="E32" s="25" t="s">
        <v>25</v>
      </c>
      <c r="F32" s="24"/>
      <c r="G32" s="24"/>
      <c r="H32" s="26"/>
      <c r="I32" s="27">
        <v>28</v>
      </c>
      <c r="J32" s="28">
        <v>30000</v>
      </c>
      <c r="K32" s="28">
        <f t="shared" si="6"/>
        <v>840000</v>
      </c>
      <c r="L32" s="27"/>
      <c r="M32" s="28">
        <v>30000</v>
      </c>
      <c r="N32" s="28">
        <f t="shared" si="7"/>
        <v>0</v>
      </c>
      <c r="O32" s="29">
        <f t="shared" si="5"/>
        <v>0</v>
      </c>
    </row>
    <row r="33" spans="2:15" ht="15.75">
      <c r="B33" s="22"/>
      <c r="C33" s="23"/>
      <c r="D33" s="24" t="s">
        <v>26</v>
      </c>
      <c r="E33" s="25" t="s">
        <v>29</v>
      </c>
      <c r="F33" s="24"/>
      <c r="G33" s="24"/>
      <c r="H33" s="26"/>
      <c r="I33" s="27">
        <v>0</v>
      </c>
      <c r="J33" s="28">
        <v>225000</v>
      </c>
      <c r="K33" s="28">
        <f t="shared" si="6"/>
        <v>0</v>
      </c>
      <c r="L33" s="27"/>
      <c r="M33" s="28">
        <v>225000</v>
      </c>
      <c r="N33" s="28">
        <f t="shared" si="7"/>
        <v>0</v>
      </c>
      <c r="O33" s="29"/>
    </row>
    <row r="34" spans="2:15" ht="15.75">
      <c r="B34" s="22"/>
      <c r="C34" s="23"/>
      <c r="D34" s="24"/>
      <c r="E34" s="25"/>
      <c r="F34" s="24"/>
      <c r="G34" s="24"/>
      <c r="H34" s="26"/>
      <c r="I34" s="40"/>
      <c r="J34" s="28"/>
      <c r="K34" s="41"/>
      <c r="L34" s="40"/>
      <c r="M34" s="28"/>
      <c r="N34" s="41"/>
      <c r="O34" s="29"/>
    </row>
    <row r="35" spans="2:15" ht="15.75">
      <c r="B35" s="31"/>
      <c r="C35" s="32">
        <v>3</v>
      </c>
      <c r="D35" s="33" t="s">
        <v>30</v>
      </c>
      <c r="E35" s="42"/>
      <c r="F35" s="42"/>
      <c r="G35" s="42"/>
      <c r="H35" s="43"/>
      <c r="I35" s="36">
        <v>100000</v>
      </c>
      <c r="J35" s="38">
        <v>50000</v>
      </c>
      <c r="K35" s="38">
        <f>I35*J35</f>
        <v>5000000000</v>
      </c>
      <c r="L35" s="36"/>
      <c r="M35" s="38">
        <v>50000</v>
      </c>
      <c r="N35" s="38">
        <f>L35*M35</f>
        <v>0</v>
      </c>
      <c r="O35" s="39">
        <f>N35/K35</f>
        <v>0</v>
      </c>
    </row>
    <row r="36" spans="2:15" ht="15.75">
      <c r="B36" s="22"/>
      <c r="C36" s="44"/>
      <c r="D36" s="45"/>
      <c r="E36" s="24"/>
      <c r="F36" s="24"/>
      <c r="G36" s="24"/>
      <c r="H36" s="26"/>
      <c r="I36" s="46"/>
      <c r="J36" s="28"/>
      <c r="K36" s="41"/>
      <c r="L36" s="46"/>
      <c r="M36" s="28"/>
      <c r="N36" s="41"/>
      <c r="O36" s="29"/>
    </row>
    <row r="37" spans="2:15" ht="15.75">
      <c r="B37" s="31"/>
      <c r="C37" s="32">
        <v>4</v>
      </c>
      <c r="D37" s="33" t="s">
        <v>31</v>
      </c>
      <c r="E37" s="34"/>
      <c r="F37" s="34"/>
      <c r="G37" s="34"/>
      <c r="H37" s="35"/>
      <c r="I37" s="36">
        <v>6000000</v>
      </c>
      <c r="J37" s="37"/>
      <c r="K37" s="38">
        <f>+K38+K41</f>
        <v>727309900000</v>
      </c>
      <c r="L37" s="36">
        <f>L38+L41</f>
        <v>0</v>
      </c>
      <c r="M37" s="37"/>
      <c r="N37" s="38">
        <f>+N38+N41</f>
        <v>0</v>
      </c>
      <c r="O37" s="39">
        <f t="shared" ref="O37:O43" si="8">N37/K37</f>
        <v>0</v>
      </c>
    </row>
    <row r="38" spans="2:15" ht="15.75">
      <c r="B38" s="22"/>
      <c r="C38" s="23"/>
      <c r="D38" s="47" t="s">
        <v>10</v>
      </c>
      <c r="E38" s="45" t="s">
        <v>32</v>
      </c>
      <c r="F38" s="24"/>
      <c r="G38" s="24"/>
      <c r="H38" s="26"/>
      <c r="I38" s="48">
        <v>4726901</v>
      </c>
      <c r="J38" s="49"/>
      <c r="K38" s="50">
        <f t="shared" ref="K38:L38" si="9">SUM(K39:K40)</f>
        <v>472690100000</v>
      </c>
      <c r="L38" s="48">
        <f t="shared" si="9"/>
        <v>0</v>
      </c>
      <c r="M38" s="49"/>
      <c r="N38" s="50">
        <f>SUM(N39:N40)</f>
        <v>0</v>
      </c>
      <c r="O38" s="29">
        <f t="shared" si="8"/>
        <v>0</v>
      </c>
    </row>
    <row r="39" spans="2:15" ht="15.75">
      <c r="B39" s="22"/>
      <c r="C39" s="23"/>
      <c r="D39" s="24"/>
      <c r="E39" s="24" t="s">
        <v>33</v>
      </c>
      <c r="F39" s="25" t="s">
        <v>34</v>
      </c>
      <c r="G39" s="24"/>
      <c r="H39" s="26"/>
      <c r="I39" s="27">
        <v>2267860</v>
      </c>
      <c r="J39" s="28">
        <v>100000</v>
      </c>
      <c r="K39" s="28">
        <f t="shared" ref="K39:K40" si="10">I39*J39</f>
        <v>226786000000</v>
      </c>
      <c r="L39" s="27"/>
      <c r="M39" s="28">
        <v>100000</v>
      </c>
      <c r="N39" s="28">
        <f t="shared" ref="N39:N40" si="11">L39*M39</f>
        <v>0</v>
      </c>
      <c r="O39" s="29">
        <f t="shared" si="8"/>
        <v>0</v>
      </c>
    </row>
    <row r="40" spans="2:15" ht="15.75">
      <c r="B40" s="22"/>
      <c r="C40" s="23"/>
      <c r="D40" s="24"/>
      <c r="E40" s="24" t="s">
        <v>35</v>
      </c>
      <c r="F40" s="25" t="s">
        <v>36</v>
      </c>
      <c r="G40" s="24"/>
      <c r="H40" s="26"/>
      <c r="I40" s="27">
        <v>2459041</v>
      </c>
      <c r="J40" s="28">
        <v>100000</v>
      </c>
      <c r="K40" s="28">
        <f t="shared" si="10"/>
        <v>245904100000</v>
      </c>
      <c r="L40" s="27"/>
      <c r="M40" s="28">
        <v>100000</v>
      </c>
      <c r="N40" s="28">
        <f t="shared" si="11"/>
        <v>0</v>
      </c>
      <c r="O40" s="29">
        <f t="shared" si="8"/>
        <v>0</v>
      </c>
    </row>
    <row r="41" spans="2:15" ht="15.75">
      <c r="B41" s="22"/>
      <c r="C41" s="23"/>
      <c r="D41" s="47" t="s">
        <v>12</v>
      </c>
      <c r="E41" s="45" t="s">
        <v>37</v>
      </c>
      <c r="F41" s="24"/>
      <c r="G41" s="24"/>
      <c r="H41" s="26"/>
      <c r="I41" s="48">
        <v>1273099</v>
      </c>
      <c r="J41" s="49"/>
      <c r="K41" s="50">
        <f t="shared" ref="K41:L41" si="12">SUM(K42:K43)</f>
        <v>254619800000</v>
      </c>
      <c r="L41" s="48">
        <f t="shared" si="12"/>
        <v>0</v>
      </c>
      <c r="M41" s="49"/>
      <c r="N41" s="50">
        <f>SUM(N42:N43)</f>
        <v>0</v>
      </c>
      <c r="O41" s="29">
        <f t="shared" si="8"/>
        <v>0</v>
      </c>
    </row>
    <row r="42" spans="2:15" ht="15.75">
      <c r="B42" s="22"/>
      <c r="C42" s="23"/>
      <c r="D42" s="24"/>
      <c r="E42" s="24" t="s">
        <v>33</v>
      </c>
      <c r="F42" s="25" t="s">
        <v>34</v>
      </c>
      <c r="G42" s="24"/>
      <c r="H42" s="26"/>
      <c r="I42" s="27">
        <v>626781</v>
      </c>
      <c r="J42" s="28">
        <v>200000</v>
      </c>
      <c r="K42" s="28">
        <f t="shared" ref="K42:K43" si="13">I42*J42</f>
        <v>125356200000</v>
      </c>
      <c r="L42" s="27"/>
      <c r="M42" s="28">
        <v>200000</v>
      </c>
      <c r="N42" s="28">
        <f t="shared" ref="N42:N43" si="14">L42*M42</f>
        <v>0</v>
      </c>
      <c r="O42" s="29">
        <f t="shared" si="8"/>
        <v>0</v>
      </c>
    </row>
    <row r="43" spans="2:15" ht="15.75">
      <c r="B43" s="22"/>
      <c r="C43" s="23"/>
      <c r="D43" s="24"/>
      <c r="E43" s="24" t="s">
        <v>35</v>
      </c>
      <c r="F43" s="25" t="s">
        <v>36</v>
      </c>
      <c r="G43" s="24"/>
      <c r="H43" s="26"/>
      <c r="I43" s="27">
        <v>646318</v>
      </c>
      <c r="J43" s="28">
        <v>200000</v>
      </c>
      <c r="K43" s="28">
        <f t="shared" si="13"/>
        <v>129263600000</v>
      </c>
      <c r="L43" s="27"/>
      <c r="M43" s="28">
        <v>200000</v>
      </c>
      <c r="N43" s="28">
        <f t="shared" si="14"/>
        <v>0</v>
      </c>
      <c r="O43" s="29">
        <f t="shared" si="8"/>
        <v>0</v>
      </c>
    </row>
    <row r="44" spans="2:15" ht="15.75">
      <c r="B44" s="51"/>
      <c r="C44" s="52"/>
      <c r="D44" s="53"/>
      <c r="E44" s="53"/>
      <c r="F44" s="54"/>
      <c r="G44" s="53"/>
      <c r="H44" s="55"/>
      <c r="I44" s="56"/>
      <c r="J44" s="57"/>
      <c r="K44" s="58"/>
      <c r="L44" s="56"/>
      <c r="M44" s="57"/>
      <c r="N44" s="58"/>
      <c r="O44" s="59"/>
    </row>
    <row r="45" spans="2:15" ht="15.75">
      <c r="B45" s="60"/>
      <c r="C45" s="61">
        <v>5</v>
      </c>
      <c r="D45" s="62" t="s">
        <v>38</v>
      </c>
      <c r="E45" s="63"/>
      <c r="F45" s="63"/>
      <c r="G45" s="63"/>
      <c r="H45" s="64"/>
      <c r="I45" s="65">
        <v>6000000</v>
      </c>
      <c r="J45" s="66"/>
      <c r="K45" s="65">
        <f>SUM(K46,K47)</f>
        <v>411586320000</v>
      </c>
      <c r="L45" s="65">
        <f>SUM(L46:L47)</f>
        <v>0</v>
      </c>
      <c r="M45" s="66"/>
      <c r="N45" s="65">
        <f>SUM(N46,N47)</f>
        <v>0</v>
      </c>
      <c r="O45" s="67">
        <f t="shared" ref="O45:O47" si="15">N45/K45</f>
        <v>0</v>
      </c>
    </row>
    <row r="46" spans="2:15" ht="15.75">
      <c r="B46" s="22"/>
      <c r="C46" s="23"/>
      <c r="D46" s="24" t="s">
        <v>10</v>
      </c>
      <c r="E46" s="25" t="s">
        <v>39</v>
      </c>
      <c r="F46" s="24"/>
      <c r="G46" s="24"/>
      <c r="H46" s="26"/>
      <c r="I46" s="48">
        <v>4710342</v>
      </c>
      <c r="J46" s="28">
        <v>60000</v>
      </c>
      <c r="K46" s="27">
        <f t="shared" ref="K46:K47" si="16">I46*J46</f>
        <v>282620520000</v>
      </c>
      <c r="L46" s="27"/>
      <c r="M46" s="28">
        <v>60000</v>
      </c>
      <c r="N46" s="28">
        <f t="shared" ref="N46:N47" si="17">L46*M46</f>
        <v>0</v>
      </c>
      <c r="O46" s="29">
        <f t="shared" si="15"/>
        <v>0</v>
      </c>
    </row>
    <row r="47" spans="2:15" ht="15.75">
      <c r="B47" s="22"/>
      <c r="C47" s="23"/>
      <c r="D47" s="24" t="s">
        <v>12</v>
      </c>
      <c r="E47" s="25" t="s">
        <v>40</v>
      </c>
      <c r="F47" s="24"/>
      <c r="G47" s="24"/>
      <c r="H47" s="26"/>
      <c r="I47" s="27">
        <v>1289658</v>
      </c>
      <c r="J47" s="28">
        <v>100000</v>
      </c>
      <c r="K47" s="28">
        <f t="shared" si="16"/>
        <v>128965800000</v>
      </c>
      <c r="L47" s="27"/>
      <c r="M47" s="28">
        <v>100000</v>
      </c>
      <c r="N47" s="28">
        <f t="shared" si="17"/>
        <v>0</v>
      </c>
      <c r="O47" s="29">
        <f t="shared" si="15"/>
        <v>0</v>
      </c>
    </row>
    <row r="48" spans="2:15" ht="15.75">
      <c r="B48" s="22"/>
      <c r="C48" s="23"/>
      <c r="D48" s="24"/>
      <c r="E48" s="25"/>
      <c r="F48" s="24"/>
      <c r="G48" s="24"/>
      <c r="H48" s="26"/>
      <c r="I48" s="27"/>
      <c r="J48" s="28"/>
      <c r="K48" s="28"/>
      <c r="L48" s="27"/>
      <c r="M48" s="28"/>
      <c r="N48" s="28"/>
      <c r="O48" s="29"/>
    </row>
    <row r="49" spans="2:15" ht="15.75">
      <c r="B49" s="31"/>
      <c r="C49" s="32">
        <v>6</v>
      </c>
      <c r="D49" s="33" t="s">
        <v>41</v>
      </c>
      <c r="E49" s="34"/>
      <c r="F49" s="34"/>
      <c r="G49" s="34"/>
      <c r="H49" s="35"/>
      <c r="I49" s="36">
        <v>1500000</v>
      </c>
      <c r="J49" s="37"/>
      <c r="K49" s="38">
        <f t="shared" ref="K49:L49" si="18">SUM(K50:K51)</f>
        <v>43861750000</v>
      </c>
      <c r="L49" s="36">
        <f t="shared" si="18"/>
        <v>0</v>
      </c>
      <c r="M49" s="37"/>
      <c r="N49" s="38">
        <f>SUM(N50:N51)</f>
        <v>0</v>
      </c>
      <c r="O49" s="39">
        <f t="shared" ref="O49:O51" si="19">N49/K49</f>
        <v>0</v>
      </c>
    </row>
    <row r="50" spans="2:15" ht="15.75">
      <c r="B50" s="22"/>
      <c r="C50" s="23"/>
      <c r="D50" s="24" t="s">
        <v>10</v>
      </c>
      <c r="E50" s="25" t="s">
        <v>39</v>
      </c>
      <c r="F50" s="24"/>
      <c r="G50" s="24"/>
      <c r="H50" s="26"/>
      <c r="I50" s="27">
        <v>1245530</v>
      </c>
      <c r="J50" s="28">
        <v>25000</v>
      </c>
      <c r="K50" s="28">
        <f t="shared" ref="K50:K51" si="20">I50*J50</f>
        <v>31138250000</v>
      </c>
      <c r="L50" s="27"/>
      <c r="M50" s="28">
        <v>25000</v>
      </c>
      <c r="N50" s="28">
        <f t="shared" ref="N50:N51" si="21">L50*M50</f>
        <v>0</v>
      </c>
      <c r="O50" s="29">
        <f t="shared" si="19"/>
        <v>0</v>
      </c>
    </row>
    <row r="51" spans="2:15" ht="15.75">
      <c r="B51" s="22"/>
      <c r="C51" s="23"/>
      <c r="D51" s="24" t="s">
        <v>12</v>
      </c>
      <c r="E51" s="25" t="s">
        <v>40</v>
      </c>
      <c r="F51" s="24"/>
      <c r="G51" s="24"/>
      <c r="H51" s="26"/>
      <c r="I51" s="27">
        <v>254470</v>
      </c>
      <c r="J51" s="28">
        <v>50000</v>
      </c>
      <c r="K51" s="28">
        <f t="shared" si="20"/>
        <v>12723500000</v>
      </c>
      <c r="L51" s="27"/>
      <c r="M51" s="28">
        <v>50000</v>
      </c>
      <c r="N51" s="28">
        <f t="shared" si="21"/>
        <v>0</v>
      </c>
      <c r="O51" s="29">
        <f t="shared" si="19"/>
        <v>0</v>
      </c>
    </row>
    <row r="52" spans="2:15" ht="15.75">
      <c r="B52" s="22"/>
      <c r="C52" s="23"/>
      <c r="D52" s="24"/>
      <c r="E52" s="25"/>
      <c r="F52" s="24"/>
      <c r="G52" s="24"/>
      <c r="H52" s="26"/>
      <c r="I52" s="27"/>
      <c r="J52" s="49"/>
      <c r="K52" s="41"/>
      <c r="L52" s="27"/>
      <c r="M52" s="49"/>
      <c r="N52" s="41"/>
      <c r="O52" s="29"/>
    </row>
    <row r="53" spans="2:15" ht="15.75">
      <c r="B53" s="31"/>
      <c r="C53" s="32">
        <v>7</v>
      </c>
      <c r="D53" s="33" t="s">
        <v>42</v>
      </c>
      <c r="E53" s="34"/>
      <c r="F53" s="34"/>
      <c r="G53" s="34"/>
      <c r="H53" s="35"/>
      <c r="I53" s="36">
        <v>75000</v>
      </c>
      <c r="J53" s="37"/>
      <c r="K53" s="38">
        <f t="shared" ref="K53:L53" si="22">SUM(K54:K55)</f>
        <v>5024800000</v>
      </c>
      <c r="L53" s="36">
        <f t="shared" si="22"/>
        <v>0</v>
      </c>
      <c r="M53" s="37"/>
      <c r="N53" s="38">
        <f>SUM(N54:N55)</f>
        <v>0</v>
      </c>
      <c r="O53" s="39">
        <f t="shared" ref="O53:O55" si="23">N53/K53</f>
        <v>0</v>
      </c>
    </row>
    <row r="54" spans="2:15" ht="15.75">
      <c r="B54" s="22"/>
      <c r="C54" s="23"/>
      <c r="D54" s="24" t="s">
        <v>10</v>
      </c>
      <c r="E54" s="25" t="s">
        <v>39</v>
      </c>
      <c r="F54" s="24"/>
      <c r="G54" s="24"/>
      <c r="H54" s="26"/>
      <c r="I54" s="27">
        <v>61880</v>
      </c>
      <c r="J54" s="28">
        <v>60000</v>
      </c>
      <c r="K54" s="28">
        <f t="shared" ref="K54:K55" si="24">I54*J54</f>
        <v>3712800000</v>
      </c>
      <c r="L54" s="27"/>
      <c r="M54" s="28">
        <v>60000</v>
      </c>
      <c r="N54" s="28">
        <f t="shared" ref="N54:N55" si="25">L54*M54</f>
        <v>0</v>
      </c>
      <c r="O54" s="29">
        <f t="shared" si="23"/>
        <v>0</v>
      </c>
    </row>
    <row r="55" spans="2:15" ht="15.75">
      <c r="B55" s="22"/>
      <c r="C55" s="23"/>
      <c r="D55" s="24" t="s">
        <v>12</v>
      </c>
      <c r="E55" s="25" t="s">
        <v>40</v>
      </c>
      <c r="F55" s="24"/>
      <c r="G55" s="24"/>
      <c r="H55" s="26"/>
      <c r="I55" s="27">
        <v>13120</v>
      </c>
      <c r="J55" s="28">
        <v>100000</v>
      </c>
      <c r="K55" s="28">
        <f t="shared" si="24"/>
        <v>1312000000</v>
      </c>
      <c r="L55" s="27"/>
      <c r="M55" s="28">
        <v>100000</v>
      </c>
      <c r="N55" s="28">
        <f t="shared" si="25"/>
        <v>0</v>
      </c>
      <c r="O55" s="29">
        <f t="shared" si="23"/>
        <v>0</v>
      </c>
    </row>
    <row r="56" spans="2:15" ht="15.75">
      <c r="B56" s="22"/>
      <c r="C56" s="23"/>
      <c r="D56" s="24"/>
      <c r="E56" s="25"/>
      <c r="F56" s="24"/>
      <c r="G56" s="24"/>
      <c r="H56" s="26"/>
      <c r="I56" s="27"/>
      <c r="J56" s="49"/>
      <c r="K56" s="41"/>
      <c r="L56" s="27"/>
      <c r="M56" s="49"/>
      <c r="N56" s="41"/>
      <c r="O56" s="29"/>
    </row>
    <row r="57" spans="2:15" ht="15.75">
      <c r="B57" s="31"/>
      <c r="C57" s="32">
        <v>8</v>
      </c>
      <c r="D57" s="33" t="s">
        <v>43</v>
      </c>
      <c r="E57" s="34"/>
      <c r="F57" s="34"/>
      <c r="G57" s="34"/>
      <c r="H57" s="35"/>
      <c r="I57" s="36">
        <v>2400000</v>
      </c>
      <c r="J57" s="37"/>
      <c r="K57" s="38">
        <f t="shared" ref="K57:L57" si="26">+K58+K61</f>
        <v>607771500000</v>
      </c>
      <c r="L57" s="36">
        <f t="shared" si="26"/>
        <v>0</v>
      </c>
      <c r="M57" s="37"/>
      <c r="N57" s="38">
        <f>+N58+N61</f>
        <v>0</v>
      </c>
      <c r="O57" s="39">
        <f t="shared" ref="O57:O63" si="27">N57/K57</f>
        <v>0</v>
      </c>
    </row>
    <row r="58" spans="2:15" ht="15.75">
      <c r="B58" s="22"/>
      <c r="C58" s="23"/>
      <c r="D58" s="47" t="s">
        <v>10</v>
      </c>
      <c r="E58" s="45" t="s">
        <v>32</v>
      </c>
      <c r="F58" s="24"/>
      <c r="G58" s="24"/>
      <c r="H58" s="26"/>
      <c r="I58" s="48">
        <v>1948190</v>
      </c>
      <c r="J58" s="49"/>
      <c r="K58" s="50">
        <f t="shared" ref="K58:L58" si="28">K59+K60</f>
        <v>438342750000</v>
      </c>
      <c r="L58" s="48">
        <f t="shared" si="28"/>
        <v>0</v>
      </c>
      <c r="M58" s="49"/>
      <c r="N58" s="50">
        <f>N59+N60</f>
        <v>0</v>
      </c>
      <c r="O58" s="29">
        <f t="shared" si="27"/>
        <v>0</v>
      </c>
    </row>
    <row r="59" spans="2:15" ht="15.75">
      <c r="B59" s="22"/>
      <c r="C59" s="23"/>
      <c r="D59" s="24"/>
      <c r="E59" s="24" t="s">
        <v>33</v>
      </c>
      <c r="F59" s="25" t="s">
        <v>34</v>
      </c>
      <c r="G59" s="24"/>
      <c r="H59" s="26"/>
      <c r="I59" s="27">
        <v>1619192</v>
      </c>
      <c r="J59" s="28">
        <v>225000</v>
      </c>
      <c r="K59" s="28">
        <f t="shared" ref="K59:K60" si="29">I59*J59</f>
        <v>364318200000</v>
      </c>
      <c r="L59" s="27"/>
      <c r="M59" s="28">
        <v>225000</v>
      </c>
      <c r="N59" s="28">
        <f t="shared" ref="N59:N60" si="30">L59*M59</f>
        <v>0</v>
      </c>
      <c r="O59" s="29">
        <f t="shared" si="27"/>
        <v>0</v>
      </c>
    </row>
    <row r="60" spans="2:15" ht="15.75">
      <c r="B60" s="22"/>
      <c r="C60" s="23"/>
      <c r="D60" s="24"/>
      <c r="E60" s="24" t="s">
        <v>35</v>
      </c>
      <c r="F60" s="25" t="s">
        <v>44</v>
      </c>
      <c r="G60" s="24"/>
      <c r="H60" s="26"/>
      <c r="I60" s="27">
        <v>328998</v>
      </c>
      <c r="J60" s="28">
        <v>225000</v>
      </c>
      <c r="K60" s="28">
        <f t="shared" si="29"/>
        <v>74024550000</v>
      </c>
      <c r="L60" s="27"/>
      <c r="M60" s="28">
        <v>225000</v>
      </c>
      <c r="N60" s="28">
        <f t="shared" si="30"/>
        <v>0</v>
      </c>
      <c r="O60" s="29">
        <f t="shared" si="27"/>
        <v>0</v>
      </c>
    </row>
    <row r="61" spans="2:15" ht="15.75">
      <c r="B61" s="22"/>
      <c r="C61" s="23"/>
      <c r="D61" s="47" t="s">
        <v>12</v>
      </c>
      <c r="E61" s="45" t="s">
        <v>40</v>
      </c>
      <c r="F61" s="24"/>
      <c r="G61" s="24"/>
      <c r="H61" s="26"/>
      <c r="I61" s="48">
        <v>451810</v>
      </c>
      <c r="J61" s="49"/>
      <c r="K61" s="48">
        <f t="shared" ref="K61:L61" si="31">K62+K63</f>
        <v>169428750000</v>
      </c>
      <c r="L61" s="48">
        <f t="shared" si="31"/>
        <v>0</v>
      </c>
      <c r="M61" s="49"/>
      <c r="N61" s="48">
        <f>N62+N63</f>
        <v>0</v>
      </c>
      <c r="O61" s="29">
        <f t="shared" si="27"/>
        <v>0</v>
      </c>
    </row>
    <row r="62" spans="2:15" ht="15.75">
      <c r="B62" s="22"/>
      <c r="C62" s="23"/>
      <c r="D62" s="24"/>
      <c r="E62" s="24" t="s">
        <v>33</v>
      </c>
      <c r="F62" s="25" t="s">
        <v>34</v>
      </c>
      <c r="G62" s="24"/>
      <c r="H62" s="26"/>
      <c r="I62" s="27">
        <v>319858</v>
      </c>
      <c r="J62" s="28">
        <v>375000</v>
      </c>
      <c r="K62" s="28">
        <f t="shared" ref="K62:K63" si="32">I62*J62</f>
        <v>119946750000</v>
      </c>
      <c r="L62" s="27"/>
      <c r="M62" s="28">
        <v>375000</v>
      </c>
      <c r="N62" s="28">
        <f t="shared" ref="N62:N63" si="33">L62*M62</f>
        <v>0</v>
      </c>
      <c r="O62" s="29">
        <f t="shared" si="27"/>
        <v>0</v>
      </c>
    </row>
    <row r="63" spans="2:15" ht="15.75">
      <c r="B63" s="22"/>
      <c r="C63" s="23"/>
      <c r="D63" s="24"/>
      <c r="E63" s="24" t="s">
        <v>35</v>
      </c>
      <c r="F63" s="25" t="s">
        <v>44</v>
      </c>
      <c r="G63" s="24"/>
      <c r="H63" s="26"/>
      <c r="I63" s="27">
        <v>131952</v>
      </c>
      <c r="J63" s="28">
        <v>375000</v>
      </c>
      <c r="K63" s="28">
        <f t="shared" si="32"/>
        <v>49482000000</v>
      </c>
      <c r="L63" s="27"/>
      <c r="M63" s="28">
        <v>375000</v>
      </c>
      <c r="N63" s="28">
        <f t="shared" si="33"/>
        <v>0</v>
      </c>
      <c r="O63" s="29">
        <f t="shared" si="27"/>
        <v>0</v>
      </c>
    </row>
    <row r="64" spans="2:15" ht="15.75">
      <c r="B64" s="22"/>
      <c r="C64" s="23"/>
      <c r="D64" s="24"/>
      <c r="E64" s="24"/>
      <c r="F64" s="25"/>
      <c r="G64" s="24"/>
      <c r="H64" s="26"/>
      <c r="I64" s="27"/>
      <c r="J64" s="49"/>
      <c r="K64" s="41"/>
      <c r="L64" s="27"/>
      <c r="M64" s="49"/>
      <c r="N64" s="41"/>
      <c r="O64" s="29"/>
    </row>
    <row r="65" spans="2:15" ht="15.75">
      <c r="B65" s="31"/>
      <c r="C65" s="32">
        <v>9</v>
      </c>
      <c r="D65" s="33" t="s">
        <v>45</v>
      </c>
      <c r="E65" s="34"/>
      <c r="F65" s="34"/>
      <c r="G65" s="34"/>
      <c r="H65" s="35"/>
      <c r="I65" s="36">
        <v>250000</v>
      </c>
      <c r="J65" s="37"/>
      <c r="K65" s="38">
        <f t="shared" ref="K65:L65" si="34">SUM(K66:K67)</f>
        <v>50337200000</v>
      </c>
      <c r="L65" s="36">
        <f t="shared" si="34"/>
        <v>0</v>
      </c>
      <c r="M65" s="37"/>
      <c r="N65" s="38">
        <f>SUM(N66:N67)</f>
        <v>0</v>
      </c>
      <c r="O65" s="39">
        <f t="shared" ref="O65:O67" si="35">N65/K65</f>
        <v>0</v>
      </c>
    </row>
    <row r="66" spans="2:15" ht="15.75">
      <c r="B66" s="22"/>
      <c r="C66" s="23"/>
      <c r="D66" s="24" t="s">
        <v>10</v>
      </c>
      <c r="E66" s="25" t="s">
        <v>46</v>
      </c>
      <c r="F66" s="24"/>
      <c r="G66" s="24"/>
      <c r="H66" s="26"/>
      <c r="I66" s="27">
        <v>121628</v>
      </c>
      <c r="J66" s="28">
        <v>150000</v>
      </c>
      <c r="K66" s="28">
        <f t="shared" ref="K66:K67" si="36">I66*J66</f>
        <v>18244200000</v>
      </c>
      <c r="L66" s="27"/>
      <c r="M66" s="28">
        <v>150000</v>
      </c>
      <c r="N66" s="28">
        <f t="shared" ref="N66:N67" si="37">L66*M66</f>
        <v>0</v>
      </c>
      <c r="O66" s="29">
        <f t="shared" si="35"/>
        <v>0</v>
      </c>
    </row>
    <row r="67" spans="2:15" ht="15.75">
      <c r="B67" s="22"/>
      <c r="C67" s="23"/>
      <c r="D67" s="24" t="s">
        <v>12</v>
      </c>
      <c r="E67" s="25" t="s">
        <v>40</v>
      </c>
      <c r="F67" s="24"/>
      <c r="G67" s="24"/>
      <c r="H67" s="26"/>
      <c r="I67" s="27">
        <v>128372</v>
      </c>
      <c r="J67" s="28">
        <v>250000</v>
      </c>
      <c r="K67" s="28">
        <f t="shared" si="36"/>
        <v>32093000000</v>
      </c>
      <c r="L67" s="27"/>
      <c r="M67" s="28">
        <v>250000</v>
      </c>
      <c r="N67" s="28">
        <f t="shared" si="37"/>
        <v>0</v>
      </c>
      <c r="O67" s="29">
        <f t="shared" si="35"/>
        <v>0</v>
      </c>
    </row>
    <row r="68" spans="2:15" ht="15.75">
      <c r="B68" s="22"/>
      <c r="C68" s="23"/>
      <c r="D68" s="24"/>
      <c r="E68" s="25"/>
      <c r="F68" s="24"/>
      <c r="G68" s="24"/>
      <c r="H68" s="26"/>
      <c r="I68" s="46"/>
      <c r="J68" s="49"/>
      <c r="K68" s="41"/>
      <c r="L68" s="46"/>
      <c r="M68" s="49"/>
      <c r="N68" s="41"/>
      <c r="O68" s="29"/>
    </row>
    <row r="69" spans="2:15" ht="15.75">
      <c r="B69" s="31"/>
      <c r="C69" s="32">
        <v>10</v>
      </c>
      <c r="D69" s="33" t="s">
        <v>47</v>
      </c>
      <c r="E69" s="34"/>
      <c r="F69" s="34"/>
      <c r="G69" s="34"/>
      <c r="H69" s="35"/>
      <c r="I69" s="36">
        <v>0</v>
      </c>
      <c r="J69" s="37"/>
      <c r="K69" s="38">
        <f t="shared" ref="K69:L69" si="38">+K70+K73</f>
        <v>0</v>
      </c>
      <c r="L69" s="36">
        <f t="shared" si="38"/>
        <v>0</v>
      </c>
      <c r="M69" s="37"/>
      <c r="N69" s="38">
        <f>+N70+N73</f>
        <v>0</v>
      </c>
      <c r="O69" s="39" t="e">
        <f t="shared" ref="O69:O75" si="39">N69/K69</f>
        <v>#DIV/0!</v>
      </c>
    </row>
    <row r="70" spans="2:15" ht="15.75">
      <c r="B70" s="22"/>
      <c r="C70" s="23"/>
      <c r="D70" s="47" t="s">
        <v>10</v>
      </c>
      <c r="E70" s="45" t="s">
        <v>46</v>
      </c>
      <c r="F70" s="24"/>
      <c r="G70" s="24"/>
      <c r="H70" s="26"/>
      <c r="I70" s="48">
        <v>0</v>
      </c>
      <c r="J70" s="49"/>
      <c r="K70" s="50">
        <f t="shared" ref="K70:L70" si="40">SUM(K71:K72)</f>
        <v>0</v>
      </c>
      <c r="L70" s="48">
        <f t="shared" si="40"/>
        <v>0</v>
      </c>
      <c r="M70" s="49"/>
      <c r="N70" s="50">
        <f>SUM(N71:N72)</f>
        <v>0</v>
      </c>
      <c r="O70" s="29" t="e">
        <f t="shared" si="39"/>
        <v>#DIV/0!</v>
      </c>
    </row>
    <row r="71" spans="2:15" ht="15.75">
      <c r="B71" s="22"/>
      <c r="C71" s="23"/>
      <c r="D71" s="24"/>
      <c r="E71" s="24" t="s">
        <v>33</v>
      </c>
      <c r="F71" s="25" t="s">
        <v>34</v>
      </c>
      <c r="G71" s="24"/>
      <c r="H71" s="26"/>
      <c r="I71" s="27">
        <v>0</v>
      </c>
      <c r="J71" s="28">
        <v>100000</v>
      </c>
      <c r="K71" s="28">
        <f t="shared" ref="K71:K72" si="41">I71*J71</f>
        <v>0</v>
      </c>
      <c r="L71" s="27">
        <f>'[1]L. MAT 09 STNKLBN'!G16</f>
        <v>0</v>
      </c>
      <c r="M71" s="28">
        <v>100000</v>
      </c>
      <c r="N71" s="28">
        <f t="shared" ref="N71:N72" si="42">L71*M71</f>
        <v>0</v>
      </c>
      <c r="O71" s="29" t="e">
        <f t="shared" si="39"/>
        <v>#DIV/0!</v>
      </c>
    </row>
    <row r="72" spans="2:15" ht="15.75">
      <c r="B72" s="22"/>
      <c r="C72" s="23"/>
      <c r="D72" s="24"/>
      <c r="E72" s="24" t="s">
        <v>35</v>
      </c>
      <c r="F72" s="25" t="s">
        <v>36</v>
      </c>
      <c r="G72" s="24"/>
      <c r="H72" s="26"/>
      <c r="I72" s="27">
        <v>0</v>
      </c>
      <c r="J72" s="28">
        <v>100000</v>
      </c>
      <c r="K72" s="28">
        <f t="shared" si="41"/>
        <v>0</v>
      </c>
      <c r="L72" s="27">
        <f>'[1]L. MAT 09 STNKLBN'!I16</f>
        <v>0</v>
      </c>
      <c r="M72" s="28">
        <v>100000</v>
      </c>
      <c r="N72" s="28">
        <f t="shared" si="42"/>
        <v>0</v>
      </c>
      <c r="O72" s="29" t="e">
        <f t="shared" si="39"/>
        <v>#DIV/0!</v>
      </c>
    </row>
    <row r="73" spans="2:15" ht="15.75">
      <c r="B73" s="22"/>
      <c r="C73" s="23"/>
      <c r="D73" s="47" t="s">
        <v>12</v>
      </c>
      <c r="E73" s="45" t="s">
        <v>40</v>
      </c>
      <c r="F73" s="24"/>
      <c r="G73" s="24"/>
      <c r="H73" s="26"/>
      <c r="I73" s="48">
        <v>0</v>
      </c>
      <c r="J73" s="49"/>
      <c r="K73" s="50">
        <f t="shared" ref="K73:L73" si="43">SUM(K74:K75)</f>
        <v>0</v>
      </c>
      <c r="L73" s="48">
        <f t="shared" si="43"/>
        <v>0</v>
      </c>
      <c r="M73" s="49"/>
      <c r="N73" s="50">
        <f>SUM(N74:N75)</f>
        <v>0</v>
      </c>
      <c r="O73" s="29" t="e">
        <f t="shared" si="39"/>
        <v>#DIV/0!</v>
      </c>
    </row>
    <row r="74" spans="2:15" ht="15.75">
      <c r="B74" s="22"/>
      <c r="C74" s="23"/>
      <c r="D74" s="24"/>
      <c r="E74" s="24" t="s">
        <v>33</v>
      </c>
      <c r="F74" s="25" t="s">
        <v>34</v>
      </c>
      <c r="G74" s="24"/>
      <c r="H74" s="26"/>
      <c r="I74" s="27">
        <v>0</v>
      </c>
      <c r="J74" s="28">
        <v>200000</v>
      </c>
      <c r="K74" s="28">
        <f t="shared" ref="K74:K75" si="44">I74*J74</f>
        <v>0</v>
      </c>
      <c r="L74" s="27">
        <f>'[1]L. MAT 09 STNKLBN'!H16</f>
        <v>0</v>
      </c>
      <c r="M74" s="28">
        <v>200000</v>
      </c>
      <c r="N74" s="28">
        <f t="shared" ref="N74:N75" si="45">L74*M74</f>
        <v>0</v>
      </c>
      <c r="O74" s="29" t="e">
        <f t="shared" si="39"/>
        <v>#DIV/0!</v>
      </c>
    </row>
    <row r="75" spans="2:15" ht="15.75">
      <c r="B75" s="22"/>
      <c r="C75" s="23"/>
      <c r="D75" s="24"/>
      <c r="E75" s="24" t="s">
        <v>35</v>
      </c>
      <c r="F75" s="25" t="s">
        <v>36</v>
      </c>
      <c r="G75" s="24"/>
      <c r="H75" s="26"/>
      <c r="I75" s="27">
        <v>0</v>
      </c>
      <c r="J75" s="28">
        <v>200000</v>
      </c>
      <c r="K75" s="28">
        <f t="shared" si="44"/>
        <v>0</v>
      </c>
      <c r="L75" s="27">
        <f>'[1]L. MAT 09 STNKLBN'!J16</f>
        <v>0</v>
      </c>
      <c r="M75" s="28">
        <v>200000</v>
      </c>
      <c r="N75" s="28">
        <f t="shared" si="45"/>
        <v>0</v>
      </c>
      <c r="O75" s="29" t="e">
        <f t="shared" si="39"/>
        <v>#DIV/0!</v>
      </c>
    </row>
    <row r="76" spans="2:15" ht="15.75">
      <c r="B76" s="51"/>
      <c r="C76" s="52"/>
      <c r="D76" s="53"/>
      <c r="E76" s="53"/>
      <c r="F76" s="54"/>
      <c r="G76" s="53"/>
      <c r="H76" s="55"/>
      <c r="I76" s="56"/>
      <c r="J76" s="68"/>
      <c r="K76" s="68"/>
      <c r="L76" s="56"/>
      <c r="M76" s="68"/>
      <c r="N76" s="68"/>
      <c r="O76" s="59"/>
    </row>
    <row r="77" spans="2:15" ht="15.75">
      <c r="B77" s="31"/>
      <c r="C77" s="32">
        <v>11</v>
      </c>
      <c r="D77" s="33" t="s">
        <v>48</v>
      </c>
      <c r="E77" s="42"/>
      <c r="F77" s="34"/>
      <c r="G77" s="34"/>
      <c r="H77" s="35"/>
      <c r="I77" s="36">
        <v>0</v>
      </c>
      <c r="J77" s="37"/>
      <c r="K77" s="38">
        <f t="shared" ref="K77:L77" si="46">K78+K81</f>
        <v>0</v>
      </c>
      <c r="L77" s="36">
        <f t="shared" si="46"/>
        <v>0</v>
      </c>
      <c r="M77" s="37"/>
      <c r="N77" s="38">
        <f>N78+N81</f>
        <v>0</v>
      </c>
      <c r="O77" s="39" t="e">
        <f t="shared" ref="O77:O83" si="47">N77/K77</f>
        <v>#DIV/0!</v>
      </c>
    </row>
    <row r="78" spans="2:15" ht="15.75">
      <c r="B78" s="22"/>
      <c r="C78" s="23"/>
      <c r="D78" s="47" t="s">
        <v>10</v>
      </c>
      <c r="E78" s="45" t="s">
        <v>46</v>
      </c>
      <c r="F78" s="24"/>
      <c r="G78" s="24"/>
      <c r="H78" s="26"/>
      <c r="I78" s="48">
        <v>0</v>
      </c>
      <c r="J78" s="49"/>
      <c r="K78" s="50">
        <f t="shared" ref="K78:L78" si="48">SUM(K79:K80)</f>
        <v>0</v>
      </c>
      <c r="L78" s="48">
        <f t="shared" si="48"/>
        <v>0</v>
      </c>
      <c r="M78" s="49"/>
      <c r="N78" s="50">
        <f>SUM(N79:N80)</f>
        <v>0</v>
      </c>
      <c r="O78" s="29" t="e">
        <f t="shared" si="47"/>
        <v>#DIV/0!</v>
      </c>
    </row>
    <row r="79" spans="2:15" ht="15.75">
      <c r="B79" s="22"/>
      <c r="C79" s="23"/>
      <c r="D79" s="24"/>
      <c r="E79" s="24" t="s">
        <v>33</v>
      </c>
      <c r="F79" s="25" t="s">
        <v>34</v>
      </c>
      <c r="G79" s="24"/>
      <c r="H79" s="26"/>
      <c r="I79" s="27">
        <v>0</v>
      </c>
      <c r="J79" s="28">
        <v>100000</v>
      </c>
      <c r="K79" s="28">
        <f t="shared" ref="K79:K80" si="49">I79*J79</f>
        <v>0</v>
      </c>
      <c r="L79" s="27">
        <f>'[1]L. MAT 10 TNKB LBN'!G16</f>
        <v>0</v>
      </c>
      <c r="M79" s="28">
        <v>100000</v>
      </c>
      <c r="N79" s="28">
        <f t="shared" ref="N79:N80" si="50">L79*M79</f>
        <v>0</v>
      </c>
      <c r="O79" s="29" t="e">
        <f t="shared" si="47"/>
        <v>#DIV/0!</v>
      </c>
    </row>
    <row r="80" spans="2:15" ht="15.75">
      <c r="B80" s="22"/>
      <c r="C80" s="23"/>
      <c r="D80" s="24"/>
      <c r="E80" s="24" t="s">
        <v>35</v>
      </c>
      <c r="F80" s="25" t="s">
        <v>36</v>
      </c>
      <c r="G80" s="24"/>
      <c r="H80" s="26"/>
      <c r="I80" s="27"/>
      <c r="J80" s="28">
        <v>100000</v>
      </c>
      <c r="K80" s="28">
        <f t="shared" si="49"/>
        <v>0</v>
      </c>
      <c r="L80" s="27">
        <f>'[1]L. MAT 10 TNKB LBN'!I16</f>
        <v>0</v>
      </c>
      <c r="M80" s="28">
        <v>100000</v>
      </c>
      <c r="N80" s="28">
        <f t="shared" si="50"/>
        <v>0</v>
      </c>
      <c r="O80" s="29" t="e">
        <f t="shared" si="47"/>
        <v>#DIV/0!</v>
      </c>
    </row>
    <row r="81" spans="2:15" ht="15.75">
      <c r="B81" s="22"/>
      <c r="C81" s="23"/>
      <c r="D81" s="47" t="s">
        <v>12</v>
      </c>
      <c r="E81" s="45" t="s">
        <v>40</v>
      </c>
      <c r="F81" s="24"/>
      <c r="G81" s="24"/>
      <c r="H81" s="26"/>
      <c r="I81" s="48">
        <v>0</v>
      </c>
      <c r="J81" s="49"/>
      <c r="K81" s="50">
        <f t="shared" ref="K81:L81" si="51">SUM(K82:K83)</f>
        <v>0</v>
      </c>
      <c r="L81" s="48">
        <f t="shared" si="51"/>
        <v>0</v>
      </c>
      <c r="M81" s="49"/>
      <c r="N81" s="50">
        <f>SUM(N82:N83)</f>
        <v>0</v>
      </c>
      <c r="O81" s="29" t="e">
        <f t="shared" si="47"/>
        <v>#DIV/0!</v>
      </c>
    </row>
    <row r="82" spans="2:15" ht="15.75">
      <c r="B82" s="22"/>
      <c r="C82" s="23"/>
      <c r="D82" s="24"/>
      <c r="E82" s="24" t="s">
        <v>33</v>
      </c>
      <c r="F82" s="25" t="s">
        <v>34</v>
      </c>
      <c r="G82" s="24"/>
      <c r="H82" s="26"/>
      <c r="I82" s="27">
        <v>0</v>
      </c>
      <c r="J82" s="28">
        <v>200000</v>
      </c>
      <c r="K82" s="28">
        <f t="shared" ref="K82:K83" si="52">I82*J82</f>
        <v>0</v>
      </c>
      <c r="L82" s="27">
        <f>'[1]L. MAT 10 TNKB LBN'!H16</f>
        <v>0</v>
      </c>
      <c r="M82" s="28">
        <v>200000</v>
      </c>
      <c r="N82" s="28">
        <f t="shared" ref="N82:N83" si="53">L82*M82</f>
        <v>0</v>
      </c>
      <c r="O82" s="29" t="e">
        <f t="shared" si="47"/>
        <v>#DIV/0!</v>
      </c>
    </row>
    <row r="83" spans="2:15" ht="15.75">
      <c r="B83" s="22"/>
      <c r="C83" s="23"/>
      <c r="D83" s="24"/>
      <c r="E83" s="24" t="s">
        <v>35</v>
      </c>
      <c r="F83" s="25" t="s">
        <v>36</v>
      </c>
      <c r="G83" s="24"/>
      <c r="H83" s="26"/>
      <c r="I83" s="27">
        <v>0</v>
      </c>
      <c r="J83" s="28">
        <v>200000</v>
      </c>
      <c r="K83" s="28">
        <f t="shared" si="52"/>
        <v>0</v>
      </c>
      <c r="L83" s="27">
        <f>'[1]L. MAT 10 TNKB LBN'!J16</f>
        <v>0</v>
      </c>
      <c r="M83" s="28">
        <v>200000</v>
      </c>
      <c r="N83" s="28">
        <f t="shared" si="53"/>
        <v>0</v>
      </c>
      <c r="O83" s="29" t="e">
        <f t="shared" si="47"/>
        <v>#DIV/0!</v>
      </c>
    </row>
    <row r="84" spans="2:15" ht="15.75">
      <c r="B84" s="22"/>
      <c r="C84" s="23"/>
      <c r="D84" s="24"/>
      <c r="E84" s="25"/>
      <c r="F84" s="24"/>
      <c r="G84" s="24"/>
      <c r="H84" s="26"/>
      <c r="I84" s="27"/>
      <c r="J84" s="49"/>
      <c r="K84" s="41"/>
      <c r="L84" s="27"/>
      <c r="M84" s="49"/>
      <c r="N84" s="41"/>
      <c r="O84" s="29"/>
    </row>
    <row r="85" spans="2:15" ht="15.75">
      <c r="B85" s="31"/>
      <c r="C85" s="32">
        <v>12</v>
      </c>
      <c r="D85" s="33" t="s">
        <v>49</v>
      </c>
      <c r="E85" s="42"/>
      <c r="F85" s="42"/>
      <c r="G85" s="42"/>
      <c r="H85" s="35"/>
      <c r="I85" s="36">
        <v>12000</v>
      </c>
      <c r="J85" s="37"/>
      <c r="K85" s="38">
        <f t="shared" ref="K85:L85" si="54">+K86+K89+K92+K95</f>
        <v>99500000000</v>
      </c>
      <c r="L85" s="36">
        <f t="shared" si="54"/>
        <v>0</v>
      </c>
      <c r="M85" s="37"/>
      <c r="N85" s="38">
        <f>+N86+N89+N92+N95</f>
        <v>0</v>
      </c>
      <c r="O85" s="39">
        <f t="shared" ref="O85:O97" si="55">N85/K85</f>
        <v>0</v>
      </c>
    </row>
    <row r="86" spans="2:15" ht="15.75">
      <c r="B86" s="22"/>
      <c r="C86" s="23"/>
      <c r="D86" s="47" t="s">
        <v>10</v>
      </c>
      <c r="E86" s="45" t="s">
        <v>50</v>
      </c>
      <c r="F86" s="24"/>
      <c r="G86" s="24"/>
      <c r="H86" s="26"/>
      <c r="I86" s="48">
        <v>1053</v>
      </c>
      <c r="J86" s="49"/>
      <c r="K86" s="50">
        <f t="shared" ref="K86:L86" si="56">SUM(K87:K88)</f>
        <v>16585000000</v>
      </c>
      <c r="L86" s="48">
        <f t="shared" si="56"/>
        <v>0</v>
      </c>
      <c r="M86" s="49"/>
      <c r="N86" s="50">
        <f>SUM(N87:N88)</f>
        <v>0</v>
      </c>
      <c r="O86" s="29">
        <f t="shared" si="55"/>
        <v>0</v>
      </c>
    </row>
    <row r="87" spans="2:15" ht="15.75">
      <c r="B87" s="22"/>
      <c r="C87" s="23"/>
      <c r="D87" s="24"/>
      <c r="E87" s="24" t="s">
        <v>33</v>
      </c>
      <c r="F87" s="25" t="s">
        <v>51</v>
      </c>
      <c r="G87" s="24"/>
      <c r="H87" s="26"/>
      <c r="I87" s="27">
        <v>158</v>
      </c>
      <c r="J87" s="28">
        <v>20000000</v>
      </c>
      <c r="K87" s="28">
        <f t="shared" ref="K87:K88" si="57">I87*J87</f>
        <v>3160000000</v>
      </c>
      <c r="L87" s="27"/>
      <c r="M87" s="28">
        <v>20000000</v>
      </c>
      <c r="N87" s="28">
        <f t="shared" ref="N87:N88" si="58">L87*M87</f>
        <v>0</v>
      </c>
      <c r="O87" s="29">
        <f t="shared" si="55"/>
        <v>0</v>
      </c>
    </row>
    <row r="88" spans="2:15" ht="15.75">
      <c r="B88" s="22"/>
      <c r="C88" s="23"/>
      <c r="D88" s="24"/>
      <c r="E88" s="24" t="s">
        <v>35</v>
      </c>
      <c r="F88" s="25" t="s">
        <v>52</v>
      </c>
      <c r="G88" s="24"/>
      <c r="H88" s="26"/>
      <c r="I88" s="27">
        <v>895</v>
      </c>
      <c r="J88" s="28">
        <v>15000000</v>
      </c>
      <c r="K88" s="28">
        <f t="shared" si="57"/>
        <v>13425000000</v>
      </c>
      <c r="L88" s="27"/>
      <c r="M88" s="28">
        <v>15000000</v>
      </c>
      <c r="N88" s="28">
        <f t="shared" si="58"/>
        <v>0</v>
      </c>
      <c r="O88" s="29">
        <f t="shared" si="55"/>
        <v>0</v>
      </c>
    </row>
    <row r="89" spans="2:15" ht="15.75">
      <c r="B89" s="22"/>
      <c r="C89" s="23"/>
      <c r="D89" s="47" t="s">
        <v>12</v>
      </c>
      <c r="E89" s="45" t="s">
        <v>53</v>
      </c>
      <c r="F89" s="24"/>
      <c r="G89" s="24"/>
      <c r="H89" s="26"/>
      <c r="I89" s="48">
        <v>2383</v>
      </c>
      <c r="J89" s="49"/>
      <c r="K89" s="50">
        <f t="shared" ref="K89:L89" si="59">SUM(K90:K91)</f>
        <v>25435000000</v>
      </c>
      <c r="L89" s="48">
        <f t="shared" si="59"/>
        <v>0</v>
      </c>
      <c r="M89" s="49"/>
      <c r="N89" s="50">
        <f>SUM(N90:N91)</f>
        <v>0</v>
      </c>
      <c r="O89" s="29">
        <f t="shared" si="55"/>
        <v>0</v>
      </c>
    </row>
    <row r="90" spans="2:15" ht="15.75">
      <c r="B90" s="22"/>
      <c r="C90" s="23"/>
      <c r="D90" s="24"/>
      <c r="E90" s="24" t="s">
        <v>33</v>
      </c>
      <c r="F90" s="25" t="s">
        <v>51</v>
      </c>
      <c r="G90" s="24"/>
      <c r="H90" s="26"/>
      <c r="I90" s="27">
        <v>321</v>
      </c>
      <c r="J90" s="28">
        <v>15000000</v>
      </c>
      <c r="K90" s="28">
        <f t="shared" ref="K90:K91" si="60">I90*J90</f>
        <v>4815000000</v>
      </c>
      <c r="L90" s="27"/>
      <c r="M90" s="28">
        <v>15000000</v>
      </c>
      <c r="N90" s="28">
        <f t="shared" ref="N90:N91" si="61">L90*M90</f>
        <v>0</v>
      </c>
      <c r="O90" s="29">
        <f t="shared" si="55"/>
        <v>0</v>
      </c>
    </row>
    <row r="91" spans="2:15" ht="15">
      <c r="B91" s="69"/>
      <c r="C91" s="70"/>
      <c r="D91" s="25"/>
      <c r="E91" s="24" t="s">
        <v>35</v>
      </c>
      <c r="F91" s="25" t="s">
        <v>52</v>
      </c>
      <c r="G91" s="25"/>
      <c r="H91" s="71"/>
      <c r="I91" s="27">
        <v>2062</v>
      </c>
      <c r="J91" s="28">
        <v>10000000</v>
      </c>
      <c r="K91" s="28">
        <f t="shared" si="60"/>
        <v>20620000000</v>
      </c>
      <c r="L91" s="27"/>
      <c r="M91" s="28">
        <v>10000000</v>
      </c>
      <c r="N91" s="28">
        <f t="shared" si="61"/>
        <v>0</v>
      </c>
      <c r="O91" s="29">
        <f t="shared" si="55"/>
        <v>0</v>
      </c>
    </row>
    <row r="92" spans="2:15" ht="15.75">
      <c r="B92" s="69"/>
      <c r="C92" s="70"/>
      <c r="D92" s="47" t="s">
        <v>14</v>
      </c>
      <c r="E92" s="45" t="s">
        <v>54</v>
      </c>
      <c r="F92" s="25"/>
      <c r="G92" s="25"/>
      <c r="H92" s="71"/>
      <c r="I92" s="48">
        <v>4609</v>
      </c>
      <c r="J92" s="28"/>
      <c r="K92" s="50">
        <f t="shared" ref="K92:L92" si="62">SUM(K93:K94)</f>
        <v>35915000000</v>
      </c>
      <c r="L92" s="48">
        <f t="shared" si="62"/>
        <v>0</v>
      </c>
      <c r="M92" s="28"/>
      <c r="N92" s="50">
        <f>SUM(N93:N94)</f>
        <v>0</v>
      </c>
      <c r="O92" s="29">
        <f t="shared" si="55"/>
        <v>0</v>
      </c>
    </row>
    <row r="93" spans="2:15" ht="15">
      <c r="B93" s="69"/>
      <c r="C93" s="70"/>
      <c r="D93" s="24"/>
      <c r="E93" s="24" t="s">
        <v>33</v>
      </c>
      <c r="F93" s="25" t="s">
        <v>51</v>
      </c>
      <c r="G93" s="25"/>
      <c r="H93" s="71"/>
      <c r="I93" s="27">
        <v>539</v>
      </c>
      <c r="J93" s="28">
        <v>10000000</v>
      </c>
      <c r="K93" s="28">
        <f t="shared" ref="K93:K94" si="63">I93*J93</f>
        <v>5390000000</v>
      </c>
      <c r="L93" s="27"/>
      <c r="M93" s="28">
        <v>10000000</v>
      </c>
      <c r="N93" s="28">
        <f t="shared" ref="N93:N94" si="64">L93*M93</f>
        <v>0</v>
      </c>
      <c r="O93" s="29">
        <f t="shared" si="55"/>
        <v>0</v>
      </c>
    </row>
    <row r="94" spans="2:15" ht="15">
      <c r="B94" s="69"/>
      <c r="C94" s="70"/>
      <c r="D94" s="24"/>
      <c r="E94" s="24" t="s">
        <v>35</v>
      </c>
      <c r="F94" s="25" t="s">
        <v>52</v>
      </c>
      <c r="G94" s="25"/>
      <c r="H94" s="71"/>
      <c r="I94" s="27">
        <v>4070</v>
      </c>
      <c r="J94" s="28">
        <v>7500000</v>
      </c>
      <c r="K94" s="28">
        <f t="shared" si="63"/>
        <v>30525000000</v>
      </c>
      <c r="L94" s="27"/>
      <c r="M94" s="28">
        <v>7500000</v>
      </c>
      <c r="N94" s="28">
        <f t="shared" si="64"/>
        <v>0</v>
      </c>
      <c r="O94" s="29">
        <f t="shared" si="55"/>
        <v>0</v>
      </c>
    </row>
    <row r="95" spans="2:15" ht="15.75">
      <c r="B95" s="69"/>
      <c r="C95" s="70"/>
      <c r="D95" s="47" t="s">
        <v>16</v>
      </c>
      <c r="E95" s="45" t="s">
        <v>55</v>
      </c>
      <c r="F95" s="25"/>
      <c r="G95" s="25"/>
      <c r="H95" s="71"/>
      <c r="I95" s="48">
        <v>3955</v>
      </c>
      <c r="J95" s="28"/>
      <c r="K95" s="50">
        <f t="shared" ref="K95:L95" si="65">SUM(K96:K97)</f>
        <v>21565000000</v>
      </c>
      <c r="L95" s="48">
        <f t="shared" si="65"/>
        <v>0</v>
      </c>
      <c r="M95" s="28"/>
      <c r="N95" s="50">
        <f>SUM(N96:N97)</f>
        <v>0</v>
      </c>
      <c r="O95" s="29">
        <f t="shared" si="55"/>
        <v>0</v>
      </c>
    </row>
    <row r="96" spans="2:15" ht="15">
      <c r="B96" s="69"/>
      <c r="C96" s="70"/>
      <c r="D96" s="25"/>
      <c r="E96" s="24" t="s">
        <v>33</v>
      </c>
      <c r="F96" s="25" t="s">
        <v>51</v>
      </c>
      <c r="G96" s="25"/>
      <c r="H96" s="71"/>
      <c r="I96" s="27">
        <v>716</v>
      </c>
      <c r="J96" s="28">
        <v>7500000</v>
      </c>
      <c r="K96" s="28">
        <f t="shared" ref="K96:K97" si="66">I96*J96</f>
        <v>5370000000</v>
      </c>
      <c r="L96" s="27"/>
      <c r="M96" s="28">
        <v>7500000</v>
      </c>
      <c r="N96" s="28">
        <f t="shared" ref="N96:N97" si="67">L96*M96</f>
        <v>0</v>
      </c>
      <c r="O96" s="29">
        <f t="shared" si="55"/>
        <v>0</v>
      </c>
    </row>
    <row r="97" spans="2:15" ht="15">
      <c r="B97" s="69"/>
      <c r="C97" s="70"/>
      <c r="D97" s="25"/>
      <c r="E97" s="24" t="s">
        <v>35</v>
      </c>
      <c r="F97" s="25" t="s">
        <v>52</v>
      </c>
      <c r="G97" s="25"/>
      <c r="H97" s="71"/>
      <c r="I97" s="27">
        <v>3239</v>
      </c>
      <c r="J97" s="28">
        <v>5000000</v>
      </c>
      <c r="K97" s="28">
        <f t="shared" si="66"/>
        <v>16195000000</v>
      </c>
      <c r="L97" s="27"/>
      <c r="M97" s="28">
        <v>5000000</v>
      </c>
      <c r="N97" s="28">
        <f t="shared" si="67"/>
        <v>0</v>
      </c>
      <c r="O97" s="29">
        <f t="shared" si="55"/>
        <v>0</v>
      </c>
    </row>
    <row r="98" spans="2:15" ht="15">
      <c r="B98" s="72"/>
      <c r="C98" s="73"/>
      <c r="D98" s="74"/>
      <c r="E98" s="74"/>
      <c r="F98" s="74"/>
      <c r="G98" s="74"/>
      <c r="H98" s="75"/>
      <c r="I98" s="76"/>
      <c r="J98" s="77"/>
      <c r="K98" s="78"/>
      <c r="L98" s="76"/>
      <c r="M98" s="77"/>
      <c r="N98" s="78"/>
      <c r="O98" s="79"/>
    </row>
    <row r="99" spans="2:15" ht="15.75">
      <c r="B99" s="80"/>
      <c r="C99" s="105" t="s">
        <v>56</v>
      </c>
      <c r="D99" s="103"/>
      <c r="E99" s="103"/>
      <c r="F99" s="103"/>
      <c r="G99" s="103"/>
      <c r="H99" s="104"/>
      <c r="I99" s="81">
        <f>SUM(I13,I24,I35,I37,I45,I49,I53,I57,I65,I69,I77,I85)</f>
        <v>19337001</v>
      </c>
      <c r="J99" s="81"/>
      <c r="K99" s="81">
        <f>SUM(K13,K24,K35,K37,K45,K49,K53,K57,K65,K69,K77,K85)</f>
        <v>2210588370000</v>
      </c>
      <c r="L99" s="81">
        <f>SUM(L13,L24,L35,L37,L45,L49,L53,L57,L65,L69,L77,L85)</f>
        <v>0</v>
      </c>
      <c r="M99" s="81"/>
      <c r="N99" s="81">
        <f>SUM(N13,N24,N35,N37,N45,N49,N53,N57,N65,N69,N77,N85)</f>
        <v>0</v>
      </c>
      <c r="O99" s="82">
        <f>N99/K99</f>
        <v>0</v>
      </c>
    </row>
    <row r="100" spans="2:15" ht="15.75">
      <c r="B100" s="83"/>
      <c r="C100" s="84"/>
      <c r="D100" s="84"/>
      <c r="E100" s="84"/>
      <c r="F100" s="84"/>
      <c r="G100" s="84"/>
      <c r="H100" s="84"/>
      <c r="I100" s="85"/>
      <c r="J100" s="84"/>
      <c r="K100" s="84"/>
      <c r="L100" s="85"/>
      <c r="M100" s="84"/>
      <c r="N100" s="86"/>
      <c r="O100" s="87"/>
    </row>
    <row r="101" spans="2:15" ht="15.75">
      <c r="B101" s="83"/>
      <c r="C101" s="88"/>
      <c r="D101" s="84"/>
      <c r="E101" s="84"/>
      <c r="F101" s="84"/>
      <c r="G101" s="84"/>
      <c r="H101" s="84"/>
      <c r="I101" s="84"/>
      <c r="J101" s="84"/>
      <c r="K101" s="84"/>
      <c r="L101" s="84"/>
      <c r="M101" s="106"/>
      <c r="N101" s="100"/>
      <c r="O101" s="100"/>
    </row>
    <row r="102" spans="2:15" ht="15.75">
      <c r="B102" s="101"/>
      <c r="C102" s="100"/>
      <c r="D102" s="100"/>
      <c r="E102" s="100"/>
      <c r="F102" s="100"/>
      <c r="G102" s="84"/>
      <c r="H102" s="84"/>
      <c r="I102" s="84"/>
      <c r="J102" s="84"/>
      <c r="K102" s="84"/>
      <c r="L102" s="84"/>
      <c r="M102" s="101"/>
      <c r="N102" s="100"/>
      <c r="O102" s="100"/>
    </row>
    <row r="103" spans="2:15" ht="15.75">
      <c r="B103" s="89"/>
      <c r="C103" s="89"/>
      <c r="D103" s="89"/>
      <c r="E103" s="84"/>
      <c r="F103" s="84"/>
      <c r="G103" s="84"/>
      <c r="H103" s="84"/>
      <c r="I103" s="86"/>
      <c r="J103" s="86"/>
      <c r="K103" s="86"/>
      <c r="L103" s="86"/>
      <c r="M103" s="89"/>
      <c r="N103" s="89"/>
      <c r="O103" s="89"/>
    </row>
    <row r="104" spans="2:15" ht="15.75">
      <c r="B104" s="101"/>
      <c r="C104" s="100"/>
      <c r="D104" s="100"/>
      <c r="E104" s="100"/>
      <c r="F104" s="100"/>
      <c r="G104" s="84"/>
      <c r="H104" s="84"/>
      <c r="I104" s="84"/>
      <c r="J104" s="84"/>
      <c r="K104" s="84"/>
      <c r="L104" s="84"/>
      <c r="M104" s="101"/>
      <c r="N104" s="100"/>
      <c r="O104" s="100"/>
    </row>
    <row r="105" spans="2:15" ht="15.75">
      <c r="B105" s="89"/>
      <c r="C105" s="89"/>
      <c r="D105" s="89"/>
      <c r="E105" s="84"/>
      <c r="F105" s="84"/>
      <c r="G105" s="84"/>
      <c r="H105" s="84"/>
      <c r="I105" s="84"/>
      <c r="J105" s="84"/>
      <c r="K105" s="84"/>
      <c r="L105" s="84"/>
      <c r="M105" s="89"/>
      <c r="N105" s="89"/>
      <c r="O105" s="89"/>
    </row>
    <row r="106" spans="2:15" ht="15.75">
      <c r="B106" s="99"/>
      <c r="C106" s="100"/>
      <c r="D106" s="100"/>
      <c r="E106" s="100"/>
      <c r="F106" s="100"/>
      <c r="G106" s="84"/>
      <c r="H106" s="84"/>
      <c r="I106" s="84"/>
      <c r="J106" s="84"/>
      <c r="K106" s="84"/>
      <c r="L106" s="84"/>
      <c r="M106" s="99"/>
      <c r="N106" s="100"/>
      <c r="O106" s="100"/>
    </row>
    <row r="107" spans="2:15" ht="15.75">
      <c r="B107" s="101"/>
      <c r="C107" s="100"/>
      <c r="D107" s="100"/>
      <c r="E107" s="100"/>
      <c r="F107" s="100"/>
      <c r="G107" s="84"/>
      <c r="H107" s="84"/>
      <c r="I107" s="84"/>
      <c r="J107" s="84"/>
      <c r="K107" s="84"/>
      <c r="L107" s="84"/>
      <c r="M107" s="101"/>
      <c r="N107" s="100"/>
      <c r="O107" s="100"/>
    </row>
  </sheetData>
  <mergeCells count="20">
    <mergeCell ref="B2:G5"/>
    <mergeCell ref="B6:O6"/>
    <mergeCell ref="B7:O7"/>
    <mergeCell ref="B9:H9"/>
    <mergeCell ref="B10:B11"/>
    <mergeCell ref="C10:H11"/>
    <mergeCell ref="I10:K10"/>
    <mergeCell ref="L10:N10"/>
    <mergeCell ref="O10:O11"/>
    <mergeCell ref="B106:F106"/>
    <mergeCell ref="M106:O106"/>
    <mergeCell ref="B107:F107"/>
    <mergeCell ref="M107:O107"/>
    <mergeCell ref="C12:H12"/>
    <mergeCell ref="C99:H99"/>
    <mergeCell ref="M101:O101"/>
    <mergeCell ref="B102:F102"/>
    <mergeCell ref="M102:O102"/>
    <mergeCell ref="B104:F104"/>
    <mergeCell ref="M104:O10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7"/>
  <sheetViews>
    <sheetView topLeftCell="A28" workbookViewId="0">
      <selection activeCell="A48" sqref="A48:XFD51"/>
    </sheetView>
  </sheetViews>
  <sheetFormatPr defaultRowHeight="14.25"/>
  <cols>
    <col min="2" max="2" width="5.875" customWidth="1"/>
    <col min="3" max="10" width="16.125" customWidth="1"/>
    <col min="11" max="11" width="26.25" customWidth="1"/>
    <col min="12" max="13" width="16.125" customWidth="1"/>
    <col min="14" max="14" width="20.75" customWidth="1"/>
    <col min="15" max="15" width="16.125" customWidth="1"/>
  </cols>
  <sheetData>
    <row r="1" spans="2:15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2:15" ht="15">
      <c r="B2" s="107"/>
      <c r="C2" s="108"/>
      <c r="D2" s="108"/>
      <c r="E2" s="108"/>
      <c r="F2" s="108"/>
      <c r="G2" s="108"/>
      <c r="H2" s="3"/>
      <c r="I2" s="3"/>
      <c r="J2" s="3"/>
      <c r="K2" s="3"/>
      <c r="L2" s="3"/>
      <c r="M2" s="3"/>
      <c r="N2" s="3"/>
      <c r="O2" s="4"/>
    </row>
    <row r="3" spans="2:15" ht="15">
      <c r="B3" s="108"/>
      <c r="C3" s="100"/>
      <c r="D3" s="100"/>
      <c r="E3" s="100"/>
      <c r="F3" s="100"/>
      <c r="G3" s="108"/>
      <c r="H3" s="3"/>
      <c r="I3" s="3"/>
      <c r="J3" s="3"/>
      <c r="K3" s="3"/>
      <c r="L3" s="3"/>
      <c r="M3" s="3"/>
      <c r="N3" s="3"/>
      <c r="O3" s="4"/>
    </row>
    <row r="4" spans="2:15" ht="15.75">
      <c r="B4" s="108"/>
      <c r="C4" s="100"/>
      <c r="D4" s="100"/>
      <c r="E4" s="100"/>
      <c r="F4" s="100"/>
      <c r="G4" s="108"/>
      <c r="H4" s="5"/>
      <c r="I4" s="3"/>
      <c r="J4" s="6"/>
      <c r="K4" s="7"/>
      <c r="L4" s="3"/>
      <c r="M4" s="6"/>
      <c r="N4" s="7"/>
      <c r="O4" s="4"/>
    </row>
    <row r="5" spans="2:15" ht="15.75">
      <c r="B5" s="108"/>
      <c r="C5" s="108"/>
      <c r="D5" s="108"/>
      <c r="E5" s="108"/>
      <c r="F5" s="108"/>
      <c r="G5" s="108"/>
      <c r="H5" s="5"/>
      <c r="I5" s="5"/>
      <c r="J5" s="8"/>
      <c r="K5" s="6"/>
      <c r="L5" s="5"/>
      <c r="M5" s="8"/>
      <c r="N5" s="6"/>
      <c r="O5" s="4"/>
    </row>
    <row r="6" spans="2:15" ht="15.75">
      <c r="B6" s="109" t="s">
        <v>57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</row>
    <row r="7" spans="2:15" ht="15.75">
      <c r="B7" s="110" t="s">
        <v>68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</row>
    <row r="8" spans="2:15" ht="15.7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ht="15.75">
      <c r="B9" s="111"/>
      <c r="C9" s="108"/>
      <c r="D9" s="108"/>
      <c r="E9" s="108"/>
      <c r="F9" s="108"/>
      <c r="G9" s="108"/>
      <c r="H9" s="108"/>
      <c r="I9" s="11"/>
      <c r="J9" s="9"/>
      <c r="K9" s="11"/>
      <c r="L9" s="11"/>
      <c r="M9" s="9"/>
      <c r="N9" s="11"/>
      <c r="O9" s="4"/>
    </row>
    <row r="10" spans="2:15" ht="15.75">
      <c r="B10" s="112" t="s">
        <v>0</v>
      </c>
      <c r="C10" s="114" t="s">
        <v>1</v>
      </c>
      <c r="D10" s="115"/>
      <c r="E10" s="115"/>
      <c r="F10" s="115"/>
      <c r="G10" s="115"/>
      <c r="H10" s="116"/>
      <c r="I10" s="120" t="s">
        <v>2</v>
      </c>
      <c r="J10" s="103"/>
      <c r="K10" s="104"/>
      <c r="L10" s="120" t="s">
        <v>3</v>
      </c>
      <c r="M10" s="103"/>
      <c r="N10" s="104"/>
      <c r="O10" s="121" t="s">
        <v>4</v>
      </c>
    </row>
    <row r="11" spans="2:15" ht="15.75">
      <c r="B11" s="113"/>
      <c r="C11" s="117"/>
      <c r="D11" s="118"/>
      <c r="E11" s="118"/>
      <c r="F11" s="118"/>
      <c r="G11" s="118"/>
      <c r="H11" s="119"/>
      <c r="I11" s="12" t="s">
        <v>5</v>
      </c>
      <c r="J11" s="12" t="s">
        <v>6</v>
      </c>
      <c r="K11" s="12" t="s">
        <v>7</v>
      </c>
      <c r="L11" s="12" t="s">
        <v>5</v>
      </c>
      <c r="M11" s="12" t="s">
        <v>6</v>
      </c>
      <c r="N11" s="12" t="s">
        <v>8</v>
      </c>
      <c r="O11" s="122"/>
    </row>
    <row r="12" spans="2:15" ht="15.75">
      <c r="B12" s="12">
        <v>1</v>
      </c>
      <c r="C12" s="102">
        <v>2</v>
      </c>
      <c r="D12" s="103"/>
      <c r="E12" s="103"/>
      <c r="F12" s="103"/>
      <c r="G12" s="103"/>
      <c r="H12" s="104"/>
      <c r="I12" s="12">
        <v>3</v>
      </c>
      <c r="J12" s="12">
        <v>4</v>
      </c>
      <c r="K12" s="12">
        <v>5</v>
      </c>
      <c r="L12" s="12">
        <v>3</v>
      </c>
      <c r="M12" s="12">
        <v>4</v>
      </c>
      <c r="N12" s="12">
        <v>5</v>
      </c>
      <c r="O12" s="12">
        <v>6</v>
      </c>
    </row>
    <row r="13" spans="2:15" ht="15.75">
      <c r="B13" s="13"/>
      <c r="C13" s="14">
        <v>1</v>
      </c>
      <c r="D13" s="15" t="s">
        <v>9</v>
      </c>
      <c r="E13" s="16"/>
      <c r="F13" s="16"/>
      <c r="G13" s="16"/>
      <c r="H13" s="17"/>
      <c r="I13" s="18">
        <v>1002980</v>
      </c>
      <c r="J13" s="19"/>
      <c r="K13" s="20">
        <f t="shared" ref="K13:L13" si="0">SUM(K14:K22)</f>
        <v>106956030000</v>
      </c>
      <c r="L13" s="18">
        <f t="shared" si="0"/>
        <v>0</v>
      </c>
      <c r="M13" s="19"/>
      <c r="N13" s="20">
        <f>SUM(N14:N22)</f>
        <v>0</v>
      </c>
      <c r="O13" s="21">
        <f t="shared" ref="O13:O22" si="1">N13/K13</f>
        <v>0</v>
      </c>
    </row>
    <row r="14" spans="2:15" ht="15.75">
      <c r="B14" s="22"/>
      <c r="C14" s="23"/>
      <c r="D14" s="24" t="s">
        <v>10</v>
      </c>
      <c r="E14" s="25" t="s">
        <v>11</v>
      </c>
      <c r="F14" s="24"/>
      <c r="G14" s="24"/>
      <c r="H14" s="26"/>
      <c r="I14" s="27">
        <v>294130</v>
      </c>
      <c r="J14" s="28">
        <v>120000</v>
      </c>
      <c r="K14" s="28">
        <f t="shared" ref="K14:K22" si="2">I14*J14</f>
        <v>35295600000</v>
      </c>
      <c r="L14" s="27"/>
      <c r="M14" s="28">
        <v>120000</v>
      </c>
      <c r="N14" s="28">
        <f t="shared" ref="N14:N22" si="3">L14*M14</f>
        <v>0</v>
      </c>
      <c r="O14" s="29">
        <f t="shared" si="1"/>
        <v>0</v>
      </c>
    </row>
    <row r="15" spans="2:15" ht="15.75">
      <c r="B15" s="22"/>
      <c r="C15" s="23"/>
      <c r="D15" s="24" t="s">
        <v>12</v>
      </c>
      <c r="E15" s="25" t="s">
        <v>13</v>
      </c>
      <c r="F15" s="24"/>
      <c r="G15" s="24"/>
      <c r="H15" s="26"/>
      <c r="I15" s="27">
        <v>30304</v>
      </c>
      <c r="J15" s="28">
        <v>120000</v>
      </c>
      <c r="K15" s="28">
        <f t="shared" si="2"/>
        <v>3636480000</v>
      </c>
      <c r="L15" s="27"/>
      <c r="M15" s="28">
        <v>120000</v>
      </c>
      <c r="N15" s="28">
        <f t="shared" si="3"/>
        <v>0</v>
      </c>
      <c r="O15" s="29">
        <f t="shared" si="1"/>
        <v>0</v>
      </c>
    </row>
    <row r="16" spans="2:15" ht="15.75">
      <c r="B16" s="22"/>
      <c r="C16" s="23"/>
      <c r="D16" s="24" t="s">
        <v>14</v>
      </c>
      <c r="E16" s="25" t="s">
        <v>15</v>
      </c>
      <c r="F16" s="24"/>
      <c r="G16" s="24"/>
      <c r="H16" s="26"/>
      <c r="I16" s="27">
        <v>13370</v>
      </c>
      <c r="J16" s="28">
        <v>120000</v>
      </c>
      <c r="K16" s="28">
        <f t="shared" si="2"/>
        <v>1604400000</v>
      </c>
      <c r="L16" s="27"/>
      <c r="M16" s="28">
        <v>120000</v>
      </c>
      <c r="N16" s="28">
        <f t="shared" si="3"/>
        <v>0</v>
      </c>
      <c r="O16" s="29">
        <f t="shared" si="1"/>
        <v>0</v>
      </c>
    </row>
    <row r="17" spans="2:15" ht="15.75">
      <c r="B17" s="22"/>
      <c r="C17" s="23"/>
      <c r="D17" s="24" t="s">
        <v>16</v>
      </c>
      <c r="E17" s="25" t="s">
        <v>17</v>
      </c>
      <c r="F17" s="24"/>
      <c r="G17" s="24"/>
      <c r="H17" s="26"/>
      <c r="I17" s="27">
        <v>662649</v>
      </c>
      <c r="J17" s="28">
        <v>100000</v>
      </c>
      <c r="K17" s="28">
        <f t="shared" si="2"/>
        <v>66264900000</v>
      </c>
      <c r="L17" s="27"/>
      <c r="M17" s="28">
        <v>100000</v>
      </c>
      <c r="N17" s="28">
        <f t="shared" si="3"/>
        <v>0</v>
      </c>
      <c r="O17" s="29">
        <f t="shared" si="1"/>
        <v>0</v>
      </c>
    </row>
    <row r="18" spans="2:15" ht="15.75">
      <c r="B18" s="22"/>
      <c r="C18" s="23"/>
      <c r="D18" s="24" t="s">
        <v>18</v>
      </c>
      <c r="E18" s="25" t="s">
        <v>19</v>
      </c>
      <c r="F18" s="24"/>
      <c r="G18" s="24"/>
      <c r="H18" s="26"/>
      <c r="I18" s="27">
        <v>299</v>
      </c>
      <c r="J18" s="28">
        <v>100000</v>
      </c>
      <c r="K18" s="28">
        <f t="shared" si="2"/>
        <v>29900000</v>
      </c>
      <c r="L18" s="27"/>
      <c r="M18" s="28">
        <v>100000</v>
      </c>
      <c r="N18" s="28">
        <f t="shared" si="3"/>
        <v>0</v>
      </c>
      <c r="O18" s="29">
        <f t="shared" si="1"/>
        <v>0</v>
      </c>
    </row>
    <row r="19" spans="2:15" ht="15.75">
      <c r="B19" s="22"/>
      <c r="C19" s="23"/>
      <c r="D19" s="24" t="s">
        <v>20</v>
      </c>
      <c r="E19" s="25" t="s">
        <v>21</v>
      </c>
      <c r="F19" s="24"/>
      <c r="G19" s="24"/>
      <c r="H19" s="26"/>
      <c r="I19" s="27">
        <v>267</v>
      </c>
      <c r="J19" s="28">
        <v>100000</v>
      </c>
      <c r="K19" s="28">
        <f t="shared" si="2"/>
        <v>26700000</v>
      </c>
      <c r="L19" s="27"/>
      <c r="M19" s="28">
        <v>100000</v>
      </c>
      <c r="N19" s="28">
        <f t="shared" si="3"/>
        <v>0</v>
      </c>
      <c r="O19" s="29">
        <f t="shared" si="1"/>
        <v>0</v>
      </c>
    </row>
    <row r="20" spans="2:15" ht="15.75">
      <c r="B20" s="22"/>
      <c r="C20" s="23"/>
      <c r="D20" s="24" t="s">
        <v>22</v>
      </c>
      <c r="E20" s="25" t="s">
        <v>23</v>
      </c>
      <c r="F20" s="24"/>
      <c r="G20" s="24"/>
      <c r="H20" s="26"/>
      <c r="I20" s="27">
        <v>1925</v>
      </c>
      <c r="J20" s="28">
        <v>50000</v>
      </c>
      <c r="K20" s="28">
        <f t="shared" si="2"/>
        <v>96250000</v>
      </c>
      <c r="L20" s="27"/>
      <c r="M20" s="28">
        <v>50000</v>
      </c>
      <c r="N20" s="28">
        <f t="shared" si="3"/>
        <v>0</v>
      </c>
      <c r="O20" s="29">
        <f t="shared" si="1"/>
        <v>0</v>
      </c>
    </row>
    <row r="21" spans="2:15" ht="15.75">
      <c r="B21" s="22"/>
      <c r="C21" s="23"/>
      <c r="D21" s="24" t="s">
        <v>24</v>
      </c>
      <c r="E21" s="25" t="s">
        <v>25</v>
      </c>
      <c r="F21" s="24"/>
      <c r="G21" s="24"/>
      <c r="H21" s="26"/>
      <c r="I21" s="27">
        <v>36</v>
      </c>
      <c r="J21" s="28">
        <v>50000</v>
      </c>
      <c r="K21" s="28">
        <f t="shared" si="2"/>
        <v>1800000</v>
      </c>
      <c r="L21" s="27"/>
      <c r="M21" s="28">
        <v>50000</v>
      </c>
      <c r="N21" s="28">
        <f t="shared" si="3"/>
        <v>0</v>
      </c>
      <c r="O21" s="29">
        <f t="shared" si="1"/>
        <v>0</v>
      </c>
    </row>
    <row r="22" spans="2:15" ht="15.75">
      <c r="B22" s="22"/>
      <c r="C22" s="23"/>
      <c r="D22" s="24" t="s">
        <v>26</v>
      </c>
      <c r="E22" s="25" t="s">
        <v>27</v>
      </c>
      <c r="F22" s="24"/>
      <c r="G22" s="24"/>
      <c r="H22" s="26"/>
      <c r="I22" s="27">
        <v>0</v>
      </c>
      <c r="J22" s="28">
        <v>250000</v>
      </c>
      <c r="K22" s="28">
        <f t="shared" si="2"/>
        <v>0</v>
      </c>
      <c r="L22" s="27"/>
      <c r="M22" s="28">
        <v>250000</v>
      </c>
      <c r="N22" s="28">
        <f t="shared" si="3"/>
        <v>0</v>
      </c>
      <c r="O22" s="29" t="e">
        <f t="shared" si="1"/>
        <v>#DIV/0!</v>
      </c>
    </row>
    <row r="23" spans="2:15" ht="15.75">
      <c r="B23" s="22"/>
      <c r="C23" s="23"/>
      <c r="D23" s="24"/>
      <c r="E23" s="25"/>
      <c r="F23" s="24"/>
      <c r="G23" s="24"/>
      <c r="H23" s="26"/>
      <c r="I23" s="30"/>
      <c r="J23" s="28"/>
      <c r="K23" s="28"/>
      <c r="L23" s="30"/>
      <c r="M23" s="28"/>
      <c r="N23" s="28"/>
      <c r="O23" s="29"/>
    </row>
    <row r="24" spans="2:15" ht="15.75">
      <c r="B24" s="31"/>
      <c r="C24" s="32">
        <v>2</v>
      </c>
      <c r="D24" s="33" t="s">
        <v>28</v>
      </c>
      <c r="E24" s="34"/>
      <c r="F24" s="34"/>
      <c r="G24" s="34"/>
      <c r="H24" s="35"/>
      <c r="I24" s="36">
        <v>1997021</v>
      </c>
      <c r="J24" s="37"/>
      <c r="K24" s="38">
        <f t="shared" ref="K24:L24" si="4">SUM(K25:K33)</f>
        <v>153240870000</v>
      </c>
      <c r="L24" s="36">
        <f t="shared" si="4"/>
        <v>0</v>
      </c>
      <c r="M24" s="37"/>
      <c r="N24" s="38">
        <f>SUM(N25:N33)</f>
        <v>0</v>
      </c>
      <c r="O24" s="39">
        <f t="shared" ref="O24:O32" si="5">N24/K24</f>
        <v>0</v>
      </c>
    </row>
    <row r="25" spans="2:15" ht="15.75">
      <c r="B25" s="22"/>
      <c r="C25" s="23"/>
      <c r="D25" s="24" t="s">
        <v>10</v>
      </c>
      <c r="E25" s="25" t="s">
        <v>11</v>
      </c>
      <c r="F25" s="24"/>
      <c r="G25" s="24"/>
      <c r="H25" s="26"/>
      <c r="I25" s="27">
        <v>596792</v>
      </c>
      <c r="J25" s="28">
        <v>80000</v>
      </c>
      <c r="K25" s="28">
        <f t="shared" ref="K25:K33" si="6">I25*J25</f>
        <v>47743360000</v>
      </c>
      <c r="L25" s="27"/>
      <c r="M25" s="28">
        <v>80000</v>
      </c>
      <c r="N25" s="28">
        <f t="shared" ref="N25:N33" si="7">L25*M25</f>
        <v>0</v>
      </c>
      <c r="O25" s="29">
        <f t="shared" si="5"/>
        <v>0</v>
      </c>
    </row>
    <row r="26" spans="2:15" ht="15.75">
      <c r="B26" s="22"/>
      <c r="C26" s="23"/>
      <c r="D26" s="24" t="s">
        <v>12</v>
      </c>
      <c r="E26" s="25" t="s">
        <v>13</v>
      </c>
      <c r="F26" s="24"/>
      <c r="G26" s="24"/>
      <c r="H26" s="26"/>
      <c r="I26" s="27">
        <v>63576</v>
      </c>
      <c r="J26" s="28">
        <v>80000</v>
      </c>
      <c r="K26" s="28">
        <f t="shared" si="6"/>
        <v>5086080000</v>
      </c>
      <c r="L26" s="27"/>
      <c r="M26" s="28">
        <v>80000</v>
      </c>
      <c r="N26" s="28">
        <f t="shared" si="7"/>
        <v>0</v>
      </c>
      <c r="O26" s="29">
        <f t="shared" si="5"/>
        <v>0</v>
      </c>
    </row>
    <row r="27" spans="2:15" ht="15.75">
      <c r="B27" s="22"/>
      <c r="C27" s="23"/>
      <c r="D27" s="24" t="s">
        <v>14</v>
      </c>
      <c r="E27" s="25" t="s">
        <v>15</v>
      </c>
      <c r="F27" s="24"/>
      <c r="G27" s="24"/>
      <c r="H27" s="26"/>
      <c r="I27" s="27">
        <v>35983</v>
      </c>
      <c r="J27" s="28">
        <v>80000</v>
      </c>
      <c r="K27" s="28">
        <f t="shared" si="6"/>
        <v>2878640000</v>
      </c>
      <c r="L27" s="27"/>
      <c r="M27" s="28">
        <v>80000</v>
      </c>
      <c r="N27" s="28">
        <f t="shared" si="7"/>
        <v>0</v>
      </c>
      <c r="O27" s="29">
        <f t="shared" si="5"/>
        <v>0</v>
      </c>
    </row>
    <row r="28" spans="2:15" ht="15.75">
      <c r="B28" s="22"/>
      <c r="C28" s="23"/>
      <c r="D28" s="24" t="s">
        <v>16</v>
      </c>
      <c r="E28" s="25" t="s">
        <v>17</v>
      </c>
      <c r="F28" s="24"/>
      <c r="G28" s="24"/>
      <c r="H28" s="26"/>
      <c r="I28" s="27">
        <v>1296381</v>
      </c>
      <c r="J28" s="28">
        <v>75000</v>
      </c>
      <c r="K28" s="28">
        <f t="shared" si="6"/>
        <v>97228575000</v>
      </c>
      <c r="L28" s="27"/>
      <c r="M28" s="28">
        <v>75000</v>
      </c>
      <c r="N28" s="28">
        <f t="shared" si="7"/>
        <v>0</v>
      </c>
      <c r="O28" s="29">
        <f t="shared" si="5"/>
        <v>0</v>
      </c>
    </row>
    <row r="29" spans="2:15" ht="15.75">
      <c r="B29" s="22"/>
      <c r="C29" s="23"/>
      <c r="D29" s="24" t="s">
        <v>18</v>
      </c>
      <c r="E29" s="25" t="s">
        <v>19</v>
      </c>
      <c r="F29" s="24"/>
      <c r="G29" s="24"/>
      <c r="H29" s="26"/>
      <c r="I29" s="27">
        <v>3815</v>
      </c>
      <c r="J29" s="28">
        <v>75000</v>
      </c>
      <c r="K29" s="28">
        <f t="shared" si="6"/>
        <v>286125000</v>
      </c>
      <c r="L29" s="27"/>
      <c r="M29" s="28">
        <v>75000</v>
      </c>
      <c r="N29" s="28">
        <f t="shared" si="7"/>
        <v>0</v>
      </c>
      <c r="O29" s="29">
        <f t="shared" si="5"/>
        <v>0</v>
      </c>
    </row>
    <row r="30" spans="2:15" ht="15.75">
      <c r="B30" s="22"/>
      <c r="C30" s="23"/>
      <c r="D30" s="24" t="s">
        <v>20</v>
      </c>
      <c r="E30" s="25" t="s">
        <v>21</v>
      </c>
      <c r="F30" s="24"/>
      <c r="G30" s="24"/>
      <c r="H30" s="26"/>
      <c r="I30" s="27">
        <v>86</v>
      </c>
      <c r="J30" s="28">
        <v>75000</v>
      </c>
      <c r="K30" s="28">
        <f t="shared" si="6"/>
        <v>6450000</v>
      </c>
      <c r="L30" s="27"/>
      <c r="M30" s="28">
        <v>75000</v>
      </c>
      <c r="N30" s="28">
        <f t="shared" si="7"/>
        <v>0</v>
      </c>
      <c r="O30" s="29">
        <f t="shared" si="5"/>
        <v>0</v>
      </c>
    </row>
    <row r="31" spans="2:15" ht="15.75">
      <c r="B31" s="22"/>
      <c r="C31" s="23"/>
      <c r="D31" s="24" t="s">
        <v>22</v>
      </c>
      <c r="E31" s="25" t="s">
        <v>23</v>
      </c>
      <c r="F31" s="24"/>
      <c r="G31" s="24"/>
      <c r="H31" s="26"/>
      <c r="I31" s="27">
        <v>360</v>
      </c>
      <c r="J31" s="28">
        <v>30000</v>
      </c>
      <c r="K31" s="28">
        <f t="shared" si="6"/>
        <v>10800000</v>
      </c>
      <c r="L31" s="27"/>
      <c r="M31" s="28">
        <v>30000</v>
      </c>
      <c r="N31" s="28">
        <f t="shared" si="7"/>
        <v>0</v>
      </c>
      <c r="O31" s="29">
        <f t="shared" si="5"/>
        <v>0</v>
      </c>
    </row>
    <row r="32" spans="2:15" ht="15.75">
      <c r="B32" s="22"/>
      <c r="C32" s="23"/>
      <c r="D32" s="24" t="s">
        <v>24</v>
      </c>
      <c r="E32" s="25" t="s">
        <v>25</v>
      </c>
      <c r="F32" s="24"/>
      <c r="G32" s="24"/>
      <c r="H32" s="26"/>
      <c r="I32" s="27">
        <v>28</v>
      </c>
      <c r="J32" s="28">
        <v>30000</v>
      </c>
      <c r="K32" s="28">
        <f t="shared" si="6"/>
        <v>840000</v>
      </c>
      <c r="L32" s="27"/>
      <c r="M32" s="28">
        <v>30000</v>
      </c>
      <c r="N32" s="28">
        <f t="shared" si="7"/>
        <v>0</v>
      </c>
      <c r="O32" s="29">
        <f t="shared" si="5"/>
        <v>0</v>
      </c>
    </row>
    <row r="33" spans="2:15" ht="15.75">
      <c r="B33" s="22"/>
      <c r="C33" s="23"/>
      <c r="D33" s="24" t="s">
        <v>26</v>
      </c>
      <c r="E33" s="25" t="s">
        <v>29</v>
      </c>
      <c r="F33" s="24"/>
      <c r="G33" s="24"/>
      <c r="H33" s="26"/>
      <c r="I33" s="27">
        <v>0</v>
      </c>
      <c r="J33" s="28">
        <v>225000</v>
      </c>
      <c r="K33" s="28">
        <f t="shared" si="6"/>
        <v>0</v>
      </c>
      <c r="L33" s="27"/>
      <c r="M33" s="28">
        <v>225000</v>
      </c>
      <c r="N33" s="28">
        <f t="shared" si="7"/>
        <v>0</v>
      </c>
      <c r="O33" s="29"/>
    </row>
    <row r="34" spans="2:15" ht="15.75">
      <c r="B34" s="22"/>
      <c r="C34" s="23"/>
      <c r="D34" s="24"/>
      <c r="E34" s="25"/>
      <c r="F34" s="24"/>
      <c r="G34" s="24"/>
      <c r="H34" s="26"/>
      <c r="I34" s="40"/>
      <c r="J34" s="28"/>
      <c r="K34" s="41"/>
      <c r="L34" s="40"/>
      <c r="M34" s="28"/>
      <c r="N34" s="41"/>
      <c r="O34" s="29"/>
    </row>
    <row r="35" spans="2:15" ht="15.75">
      <c r="B35" s="31"/>
      <c r="C35" s="32">
        <v>3</v>
      </c>
      <c r="D35" s="33" t="s">
        <v>30</v>
      </c>
      <c r="E35" s="42"/>
      <c r="F35" s="42"/>
      <c r="G35" s="42"/>
      <c r="H35" s="43"/>
      <c r="I35" s="36">
        <v>100000</v>
      </c>
      <c r="J35" s="38">
        <v>50000</v>
      </c>
      <c r="K35" s="38">
        <f>I35*J35</f>
        <v>5000000000</v>
      </c>
      <c r="L35" s="36"/>
      <c r="M35" s="38">
        <v>50000</v>
      </c>
      <c r="N35" s="38">
        <f>L35*M35</f>
        <v>0</v>
      </c>
      <c r="O35" s="39">
        <f>N35/K35</f>
        <v>0</v>
      </c>
    </row>
    <row r="36" spans="2:15" ht="15.75">
      <c r="B36" s="22"/>
      <c r="C36" s="44"/>
      <c r="D36" s="45"/>
      <c r="E36" s="24"/>
      <c r="F36" s="24"/>
      <c r="G36" s="24"/>
      <c r="H36" s="26"/>
      <c r="I36" s="46"/>
      <c r="J36" s="28"/>
      <c r="K36" s="41"/>
      <c r="L36" s="46"/>
      <c r="M36" s="28"/>
      <c r="N36" s="41"/>
      <c r="O36" s="29"/>
    </row>
    <row r="37" spans="2:15" ht="15.75">
      <c r="B37" s="31"/>
      <c r="C37" s="32">
        <v>4</v>
      </c>
      <c r="D37" s="33" t="s">
        <v>31</v>
      </c>
      <c r="E37" s="34"/>
      <c r="F37" s="34"/>
      <c r="G37" s="34"/>
      <c r="H37" s="35"/>
      <c r="I37" s="36">
        <v>6000000</v>
      </c>
      <c r="J37" s="37"/>
      <c r="K37" s="38">
        <f>+K38+K41</f>
        <v>727309900000</v>
      </c>
      <c r="L37" s="36">
        <f>L38+L41</f>
        <v>0</v>
      </c>
      <c r="M37" s="37"/>
      <c r="N37" s="38">
        <f>+N38+N41</f>
        <v>0</v>
      </c>
      <c r="O37" s="39">
        <f t="shared" ref="O37:O43" si="8">N37/K37</f>
        <v>0</v>
      </c>
    </row>
    <row r="38" spans="2:15" ht="15.75">
      <c r="B38" s="22"/>
      <c r="C38" s="23"/>
      <c r="D38" s="47" t="s">
        <v>10</v>
      </c>
      <c r="E38" s="45" t="s">
        <v>32</v>
      </c>
      <c r="F38" s="24"/>
      <c r="G38" s="24"/>
      <c r="H38" s="26"/>
      <c r="I38" s="48">
        <v>4726901</v>
      </c>
      <c r="J38" s="49"/>
      <c r="K38" s="50">
        <f t="shared" ref="K38:L38" si="9">SUM(K39:K40)</f>
        <v>472690100000</v>
      </c>
      <c r="L38" s="48">
        <f t="shared" si="9"/>
        <v>0</v>
      </c>
      <c r="M38" s="49"/>
      <c r="N38" s="50">
        <f>SUM(N39:N40)</f>
        <v>0</v>
      </c>
      <c r="O38" s="29">
        <f t="shared" si="8"/>
        <v>0</v>
      </c>
    </row>
    <row r="39" spans="2:15" ht="15.75">
      <c r="B39" s="22"/>
      <c r="C39" s="23"/>
      <c r="D39" s="24"/>
      <c r="E39" s="24" t="s">
        <v>33</v>
      </c>
      <c r="F39" s="25" t="s">
        <v>34</v>
      </c>
      <c r="G39" s="24"/>
      <c r="H39" s="26"/>
      <c r="I39" s="27">
        <v>2267860</v>
      </c>
      <c r="J39" s="28">
        <v>100000</v>
      </c>
      <c r="K39" s="28">
        <f t="shared" ref="K39:K40" si="10">I39*J39</f>
        <v>226786000000</v>
      </c>
      <c r="L39" s="27"/>
      <c r="M39" s="28">
        <v>100000</v>
      </c>
      <c r="N39" s="28">
        <f t="shared" ref="N39:N40" si="11">L39*M39</f>
        <v>0</v>
      </c>
      <c r="O39" s="29">
        <f t="shared" si="8"/>
        <v>0</v>
      </c>
    </row>
    <row r="40" spans="2:15" ht="15.75">
      <c r="B40" s="22"/>
      <c r="C40" s="23"/>
      <c r="D40" s="24"/>
      <c r="E40" s="24" t="s">
        <v>35</v>
      </c>
      <c r="F40" s="25" t="s">
        <v>36</v>
      </c>
      <c r="G40" s="24"/>
      <c r="H40" s="26"/>
      <c r="I40" s="27">
        <v>2459041</v>
      </c>
      <c r="J40" s="28">
        <v>100000</v>
      </c>
      <c r="K40" s="28">
        <f t="shared" si="10"/>
        <v>245904100000</v>
      </c>
      <c r="L40" s="27"/>
      <c r="M40" s="28">
        <v>100000</v>
      </c>
      <c r="N40" s="28">
        <f t="shared" si="11"/>
        <v>0</v>
      </c>
      <c r="O40" s="29">
        <f t="shared" si="8"/>
        <v>0</v>
      </c>
    </row>
    <row r="41" spans="2:15" ht="15.75">
      <c r="B41" s="22"/>
      <c r="C41" s="23"/>
      <c r="D41" s="47" t="s">
        <v>12</v>
      </c>
      <c r="E41" s="45" t="s">
        <v>37</v>
      </c>
      <c r="F41" s="24"/>
      <c r="G41" s="24"/>
      <c r="H41" s="26"/>
      <c r="I41" s="48">
        <v>1273099</v>
      </c>
      <c r="J41" s="49"/>
      <c r="K41" s="50">
        <f t="shared" ref="K41:L41" si="12">SUM(K42:K43)</f>
        <v>254619800000</v>
      </c>
      <c r="L41" s="48">
        <f t="shared" si="12"/>
        <v>0</v>
      </c>
      <c r="M41" s="49"/>
      <c r="N41" s="50">
        <f>SUM(N42:N43)</f>
        <v>0</v>
      </c>
      <c r="O41" s="29">
        <f t="shared" si="8"/>
        <v>0</v>
      </c>
    </row>
    <row r="42" spans="2:15" ht="15.75">
      <c r="B42" s="22"/>
      <c r="C42" s="23"/>
      <c r="D42" s="24"/>
      <c r="E42" s="24" t="s">
        <v>33</v>
      </c>
      <c r="F42" s="25" t="s">
        <v>34</v>
      </c>
      <c r="G42" s="24"/>
      <c r="H42" s="26"/>
      <c r="I42" s="27">
        <v>626781</v>
      </c>
      <c r="J42" s="28">
        <v>200000</v>
      </c>
      <c r="K42" s="28">
        <f t="shared" ref="K42:K43" si="13">I42*J42</f>
        <v>125356200000</v>
      </c>
      <c r="L42" s="27"/>
      <c r="M42" s="28">
        <v>200000</v>
      </c>
      <c r="N42" s="28">
        <f t="shared" ref="N42:N43" si="14">L42*M42</f>
        <v>0</v>
      </c>
      <c r="O42" s="29">
        <f t="shared" si="8"/>
        <v>0</v>
      </c>
    </row>
    <row r="43" spans="2:15" ht="15.75">
      <c r="B43" s="22"/>
      <c r="C43" s="23"/>
      <c r="D43" s="24"/>
      <c r="E43" s="24" t="s">
        <v>35</v>
      </c>
      <c r="F43" s="25" t="s">
        <v>36</v>
      </c>
      <c r="G43" s="24"/>
      <c r="H43" s="26"/>
      <c r="I43" s="27">
        <v>646318</v>
      </c>
      <c r="J43" s="28">
        <v>200000</v>
      </c>
      <c r="K43" s="28">
        <f t="shared" si="13"/>
        <v>129263600000</v>
      </c>
      <c r="L43" s="27"/>
      <c r="M43" s="28">
        <v>200000</v>
      </c>
      <c r="N43" s="28">
        <f t="shared" si="14"/>
        <v>0</v>
      </c>
      <c r="O43" s="29">
        <f t="shared" si="8"/>
        <v>0</v>
      </c>
    </row>
    <row r="44" spans="2:15" ht="15.75">
      <c r="B44" s="51"/>
      <c r="C44" s="52"/>
      <c r="D44" s="53"/>
      <c r="E44" s="53"/>
      <c r="F44" s="54"/>
      <c r="G44" s="53"/>
      <c r="H44" s="55"/>
      <c r="I44" s="56"/>
      <c r="J44" s="57"/>
      <c r="K44" s="58"/>
      <c r="L44" s="56"/>
      <c r="M44" s="57"/>
      <c r="N44" s="58"/>
      <c r="O44" s="59"/>
    </row>
    <row r="45" spans="2:15" ht="15.75">
      <c r="B45" s="60"/>
      <c r="C45" s="61">
        <v>5</v>
      </c>
      <c r="D45" s="62" t="s">
        <v>38</v>
      </c>
      <c r="E45" s="63"/>
      <c r="F45" s="63"/>
      <c r="G45" s="63"/>
      <c r="H45" s="64"/>
      <c r="I45" s="65">
        <v>6000000</v>
      </c>
      <c r="J45" s="66"/>
      <c r="K45" s="65">
        <f>SUM(K46,K47)</f>
        <v>411586320000</v>
      </c>
      <c r="L45" s="65">
        <f>SUM(L46:L47)</f>
        <v>0</v>
      </c>
      <c r="M45" s="66"/>
      <c r="N45" s="65">
        <f>SUM(N46,N47)</f>
        <v>0</v>
      </c>
      <c r="O45" s="67">
        <f t="shared" ref="O45:O47" si="15">N45/K45</f>
        <v>0</v>
      </c>
    </row>
    <row r="46" spans="2:15" ht="15.75">
      <c r="B46" s="22"/>
      <c r="C46" s="23"/>
      <c r="D46" s="24" t="s">
        <v>10</v>
      </c>
      <c r="E46" s="25" t="s">
        <v>39</v>
      </c>
      <c r="F46" s="24"/>
      <c r="G46" s="24"/>
      <c r="H46" s="26"/>
      <c r="I46" s="48">
        <v>4710342</v>
      </c>
      <c r="J46" s="28">
        <v>60000</v>
      </c>
      <c r="K46" s="27">
        <f t="shared" ref="K46:K47" si="16">I46*J46</f>
        <v>282620520000</v>
      </c>
      <c r="L46" s="27"/>
      <c r="M46" s="28">
        <v>60000</v>
      </c>
      <c r="N46" s="28">
        <f t="shared" ref="N46:N47" si="17">L46*M46</f>
        <v>0</v>
      </c>
      <c r="O46" s="29">
        <f t="shared" si="15"/>
        <v>0</v>
      </c>
    </row>
    <row r="47" spans="2:15" ht="15.75">
      <c r="B47" s="22"/>
      <c r="C47" s="23"/>
      <c r="D47" s="24" t="s">
        <v>12</v>
      </c>
      <c r="E47" s="25" t="s">
        <v>40</v>
      </c>
      <c r="F47" s="24"/>
      <c r="G47" s="24"/>
      <c r="H47" s="26"/>
      <c r="I47" s="27">
        <v>1289658</v>
      </c>
      <c r="J47" s="28">
        <v>100000</v>
      </c>
      <c r="K47" s="28">
        <f t="shared" si="16"/>
        <v>128965800000</v>
      </c>
      <c r="L47" s="27"/>
      <c r="M47" s="28">
        <v>100000</v>
      </c>
      <c r="N47" s="28">
        <f t="shared" si="17"/>
        <v>0</v>
      </c>
      <c r="O47" s="29">
        <f t="shared" si="15"/>
        <v>0</v>
      </c>
    </row>
    <row r="48" spans="2:15" ht="15.75">
      <c r="B48" s="22"/>
      <c r="C48" s="23"/>
      <c r="D48" s="24"/>
      <c r="E48" s="25"/>
      <c r="F48" s="24"/>
      <c r="G48" s="24"/>
      <c r="H48" s="26"/>
      <c r="I48" s="27"/>
      <c r="J48" s="28"/>
      <c r="K48" s="28"/>
      <c r="L48" s="27"/>
      <c r="M48" s="28"/>
      <c r="N48" s="28"/>
      <c r="O48" s="29"/>
    </row>
    <row r="49" spans="2:15" ht="15.75">
      <c r="B49" s="31"/>
      <c r="C49" s="32">
        <v>6</v>
      </c>
      <c r="D49" s="33" t="s">
        <v>41</v>
      </c>
      <c r="E49" s="34"/>
      <c r="F49" s="34"/>
      <c r="G49" s="34"/>
      <c r="H49" s="35"/>
      <c r="I49" s="36">
        <v>1500000</v>
      </c>
      <c r="J49" s="37"/>
      <c r="K49" s="38">
        <f t="shared" ref="K49:L49" si="18">SUM(K50:K51)</f>
        <v>43861750000</v>
      </c>
      <c r="L49" s="36">
        <f t="shared" si="18"/>
        <v>0</v>
      </c>
      <c r="M49" s="37"/>
      <c r="N49" s="38">
        <f>SUM(N50:N51)</f>
        <v>0</v>
      </c>
      <c r="O49" s="39">
        <f t="shared" ref="O49:O51" si="19">N49/K49</f>
        <v>0</v>
      </c>
    </row>
    <row r="50" spans="2:15" ht="15.75">
      <c r="B50" s="22"/>
      <c r="C50" s="23"/>
      <c r="D50" s="24" t="s">
        <v>10</v>
      </c>
      <c r="E50" s="25" t="s">
        <v>39</v>
      </c>
      <c r="F50" s="24"/>
      <c r="G50" s="24"/>
      <c r="H50" s="26"/>
      <c r="I50" s="27">
        <v>1245530</v>
      </c>
      <c r="J50" s="28">
        <v>25000</v>
      </c>
      <c r="K50" s="28">
        <f t="shared" ref="K50:K51" si="20">I50*J50</f>
        <v>31138250000</v>
      </c>
      <c r="L50" s="27"/>
      <c r="M50" s="28">
        <v>25000</v>
      </c>
      <c r="N50" s="28">
        <f t="shared" ref="N50:N51" si="21">L50*M50</f>
        <v>0</v>
      </c>
      <c r="O50" s="29">
        <f t="shared" si="19"/>
        <v>0</v>
      </c>
    </row>
    <row r="51" spans="2:15" ht="15.75">
      <c r="B51" s="22"/>
      <c r="C51" s="23"/>
      <c r="D51" s="24" t="s">
        <v>12</v>
      </c>
      <c r="E51" s="25" t="s">
        <v>40</v>
      </c>
      <c r="F51" s="24"/>
      <c r="G51" s="24"/>
      <c r="H51" s="26"/>
      <c r="I51" s="27">
        <v>254470</v>
      </c>
      <c r="J51" s="28">
        <v>50000</v>
      </c>
      <c r="K51" s="28">
        <f t="shared" si="20"/>
        <v>12723500000</v>
      </c>
      <c r="L51" s="27"/>
      <c r="M51" s="28">
        <v>50000</v>
      </c>
      <c r="N51" s="28">
        <f t="shared" si="21"/>
        <v>0</v>
      </c>
      <c r="O51" s="29">
        <f t="shared" si="19"/>
        <v>0</v>
      </c>
    </row>
    <row r="52" spans="2:15" ht="15.75">
      <c r="B52" s="22"/>
      <c r="C52" s="23"/>
      <c r="D52" s="24"/>
      <c r="E52" s="25"/>
      <c r="F52" s="24"/>
      <c r="G52" s="24"/>
      <c r="H52" s="26"/>
      <c r="I52" s="27"/>
      <c r="J52" s="49"/>
      <c r="K52" s="41"/>
      <c r="L52" s="27"/>
      <c r="M52" s="49"/>
      <c r="N52" s="41"/>
      <c r="O52" s="29"/>
    </row>
    <row r="53" spans="2:15" ht="15.75">
      <c r="B53" s="31"/>
      <c r="C53" s="32">
        <v>7</v>
      </c>
      <c r="D53" s="33" t="s">
        <v>42</v>
      </c>
      <c r="E53" s="34"/>
      <c r="F53" s="34"/>
      <c r="G53" s="34"/>
      <c r="H53" s="35"/>
      <c r="I53" s="36">
        <v>75000</v>
      </c>
      <c r="J53" s="37"/>
      <c r="K53" s="38">
        <f t="shared" ref="K53:L53" si="22">SUM(K54:K55)</f>
        <v>5024800000</v>
      </c>
      <c r="L53" s="36">
        <f t="shared" si="22"/>
        <v>0</v>
      </c>
      <c r="M53" s="37"/>
      <c r="N53" s="38">
        <f>SUM(N54:N55)</f>
        <v>0</v>
      </c>
      <c r="O53" s="39">
        <f t="shared" ref="O53:O55" si="23">N53/K53</f>
        <v>0</v>
      </c>
    </row>
    <row r="54" spans="2:15" ht="15.75">
      <c r="B54" s="22"/>
      <c r="C54" s="23"/>
      <c r="D54" s="24" t="s">
        <v>10</v>
      </c>
      <c r="E54" s="25" t="s">
        <v>39</v>
      </c>
      <c r="F54" s="24"/>
      <c r="G54" s="24"/>
      <c r="H54" s="26"/>
      <c r="I54" s="27">
        <v>61880</v>
      </c>
      <c r="J54" s="28">
        <v>60000</v>
      </c>
      <c r="K54" s="28">
        <f t="shared" ref="K54:K55" si="24">I54*J54</f>
        <v>3712800000</v>
      </c>
      <c r="L54" s="27"/>
      <c r="M54" s="28">
        <v>60000</v>
      </c>
      <c r="N54" s="28">
        <f t="shared" ref="N54:N55" si="25">L54*M54</f>
        <v>0</v>
      </c>
      <c r="O54" s="29">
        <f t="shared" si="23"/>
        <v>0</v>
      </c>
    </row>
    <row r="55" spans="2:15" ht="15.75">
      <c r="B55" s="22"/>
      <c r="C55" s="23"/>
      <c r="D55" s="24" t="s">
        <v>12</v>
      </c>
      <c r="E55" s="25" t="s">
        <v>40</v>
      </c>
      <c r="F55" s="24"/>
      <c r="G55" s="24"/>
      <c r="H55" s="26"/>
      <c r="I55" s="27">
        <v>13120</v>
      </c>
      <c r="J55" s="28">
        <v>100000</v>
      </c>
      <c r="K55" s="28">
        <f t="shared" si="24"/>
        <v>1312000000</v>
      </c>
      <c r="L55" s="27"/>
      <c r="M55" s="28">
        <v>100000</v>
      </c>
      <c r="N55" s="28">
        <f t="shared" si="25"/>
        <v>0</v>
      </c>
      <c r="O55" s="29">
        <f t="shared" si="23"/>
        <v>0</v>
      </c>
    </row>
    <row r="56" spans="2:15" ht="15.75">
      <c r="B56" s="22"/>
      <c r="C56" s="23"/>
      <c r="D56" s="24"/>
      <c r="E56" s="25"/>
      <c r="F56" s="24"/>
      <c r="G56" s="24"/>
      <c r="H56" s="26"/>
      <c r="I56" s="27"/>
      <c r="J56" s="49"/>
      <c r="K56" s="41"/>
      <c r="L56" s="27"/>
      <c r="M56" s="49"/>
      <c r="N56" s="41"/>
      <c r="O56" s="29"/>
    </row>
    <row r="57" spans="2:15" ht="15.75">
      <c r="B57" s="31"/>
      <c r="C57" s="32">
        <v>8</v>
      </c>
      <c r="D57" s="33" t="s">
        <v>43</v>
      </c>
      <c r="E57" s="34"/>
      <c r="F57" s="34"/>
      <c r="G57" s="34"/>
      <c r="H57" s="35"/>
      <c r="I57" s="36">
        <v>2400000</v>
      </c>
      <c r="J57" s="37"/>
      <c r="K57" s="38">
        <f t="shared" ref="K57:L57" si="26">+K58+K61</f>
        <v>607771500000</v>
      </c>
      <c r="L57" s="36">
        <f t="shared" si="26"/>
        <v>0</v>
      </c>
      <c r="M57" s="37"/>
      <c r="N57" s="38">
        <f>+N58+N61</f>
        <v>0</v>
      </c>
      <c r="O57" s="39">
        <f t="shared" ref="O57:O63" si="27">N57/K57</f>
        <v>0</v>
      </c>
    </row>
    <row r="58" spans="2:15" ht="15.75">
      <c r="B58" s="22"/>
      <c r="C58" s="23"/>
      <c r="D58" s="47" t="s">
        <v>10</v>
      </c>
      <c r="E58" s="45" t="s">
        <v>32</v>
      </c>
      <c r="F58" s="24"/>
      <c r="G58" s="24"/>
      <c r="H58" s="26"/>
      <c r="I58" s="48">
        <v>1948190</v>
      </c>
      <c r="J58" s="49"/>
      <c r="K58" s="50">
        <f t="shared" ref="K58:L58" si="28">K59+K60</f>
        <v>438342750000</v>
      </c>
      <c r="L58" s="48">
        <f t="shared" si="28"/>
        <v>0</v>
      </c>
      <c r="M58" s="49"/>
      <c r="N58" s="50">
        <f>N59+N60</f>
        <v>0</v>
      </c>
      <c r="O58" s="29">
        <f t="shared" si="27"/>
        <v>0</v>
      </c>
    </row>
    <row r="59" spans="2:15" ht="15.75">
      <c r="B59" s="22"/>
      <c r="C59" s="23"/>
      <c r="D59" s="24"/>
      <c r="E59" s="24" t="s">
        <v>33</v>
      </c>
      <c r="F59" s="25" t="s">
        <v>34</v>
      </c>
      <c r="G59" s="24"/>
      <c r="H59" s="26"/>
      <c r="I59" s="27">
        <v>1619192</v>
      </c>
      <c r="J59" s="28">
        <v>225000</v>
      </c>
      <c r="K59" s="28">
        <f t="shared" ref="K59:K60" si="29">I59*J59</f>
        <v>364318200000</v>
      </c>
      <c r="L59" s="27"/>
      <c r="M59" s="28">
        <v>225000</v>
      </c>
      <c r="N59" s="28">
        <f t="shared" ref="N59:N60" si="30">L59*M59</f>
        <v>0</v>
      </c>
      <c r="O59" s="29">
        <f t="shared" si="27"/>
        <v>0</v>
      </c>
    </row>
    <row r="60" spans="2:15" ht="15.75">
      <c r="B60" s="22"/>
      <c r="C60" s="23"/>
      <c r="D60" s="24"/>
      <c r="E60" s="24" t="s">
        <v>35</v>
      </c>
      <c r="F60" s="25" t="s">
        <v>44</v>
      </c>
      <c r="G60" s="24"/>
      <c r="H60" s="26"/>
      <c r="I60" s="27">
        <v>328998</v>
      </c>
      <c r="J60" s="28">
        <v>225000</v>
      </c>
      <c r="K60" s="28">
        <f t="shared" si="29"/>
        <v>74024550000</v>
      </c>
      <c r="L60" s="27"/>
      <c r="M60" s="28">
        <v>225000</v>
      </c>
      <c r="N60" s="28">
        <f t="shared" si="30"/>
        <v>0</v>
      </c>
      <c r="O60" s="29">
        <f t="shared" si="27"/>
        <v>0</v>
      </c>
    </row>
    <row r="61" spans="2:15" ht="15.75">
      <c r="B61" s="22"/>
      <c r="C61" s="23"/>
      <c r="D61" s="47" t="s">
        <v>12</v>
      </c>
      <c r="E61" s="45" t="s">
        <v>40</v>
      </c>
      <c r="F61" s="24"/>
      <c r="G61" s="24"/>
      <c r="H61" s="26"/>
      <c r="I61" s="48">
        <v>451810</v>
      </c>
      <c r="J61" s="49"/>
      <c r="K61" s="48">
        <f t="shared" ref="K61:L61" si="31">K62+K63</f>
        <v>169428750000</v>
      </c>
      <c r="L61" s="48">
        <f t="shared" si="31"/>
        <v>0</v>
      </c>
      <c r="M61" s="49"/>
      <c r="N61" s="48">
        <f>N62+N63</f>
        <v>0</v>
      </c>
      <c r="O61" s="29">
        <f t="shared" si="27"/>
        <v>0</v>
      </c>
    </row>
    <row r="62" spans="2:15" ht="15.75">
      <c r="B62" s="22"/>
      <c r="C62" s="23"/>
      <c r="D62" s="24"/>
      <c r="E62" s="24" t="s">
        <v>33</v>
      </c>
      <c r="F62" s="25" t="s">
        <v>34</v>
      </c>
      <c r="G62" s="24"/>
      <c r="H62" s="26"/>
      <c r="I62" s="27">
        <v>319858</v>
      </c>
      <c r="J62" s="28">
        <v>375000</v>
      </c>
      <c r="K62" s="28">
        <f t="shared" ref="K62:K63" si="32">I62*J62</f>
        <v>119946750000</v>
      </c>
      <c r="L62" s="27"/>
      <c r="M62" s="28">
        <v>375000</v>
      </c>
      <c r="N62" s="28">
        <f t="shared" ref="N62:N63" si="33">L62*M62</f>
        <v>0</v>
      </c>
      <c r="O62" s="29">
        <f t="shared" si="27"/>
        <v>0</v>
      </c>
    </row>
    <row r="63" spans="2:15" ht="15.75">
      <c r="B63" s="22"/>
      <c r="C63" s="23"/>
      <c r="D63" s="24"/>
      <c r="E63" s="24" t="s">
        <v>35</v>
      </c>
      <c r="F63" s="25" t="s">
        <v>44</v>
      </c>
      <c r="G63" s="24"/>
      <c r="H63" s="26"/>
      <c r="I63" s="27">
        <v>131952</v>
      </c>
      <c r="J63" s="28">
        <v>375000</v>
      </c>
      <c r="K63" s="28">
        <f t="shared" si="32"/>
        <v>49482000000</v>
      </c>
      <c r="L63" s="27"/>
      <c r="M63" s="28">
        <v>375000</v>
      </c>
      <c r="N63" s="28">
        <f t="shared" si="33"/>
        <v>0</v>
      </c>
      <c r="O63" s="29">
        <f t="shared" si="27"/>
        <v>0</v>
      </c>
    </row>
    <row r="64" spans="2:15" ht="15.75">
      <c r="B64" s="22"/>
      <c r="C64" s="23"/>
      <c r="D64" s="24"/>
      <c r="E64" s="24"/>
      <c r="F64" s="25"/>
      <c r="G64" s="24"/>
      <c r="H64" s="26"/>
      <c r="I64" s="27"/>
      <c r="J64" s="49"/>
      <c r="K64" s="41"/>
      <c r="L64" s="27"/>
      <c r="M64" s="49"/>
      <c r="N64" s="41"/>
      <c r="O64" s="29"/>
    </row>
    <row r="65" spans="2:15" ht="15.75">
      <c r="B65" s="31"/>
      <c r="C65" s="32">
        <v>9</v>
      </c>
      <c r="D65" s="33" t="s">
        <v>45</v>
      </c>
      <c r="E65" s="34"/>
      <c r="F65" s="34"/>
      <c r="G65" s="34"/>
      <c r="H65" s="35"/>
      <c r="I65" s="36">
        <v>250000</v>
      </c>
      <c r="J65" s="37"/>
      <c r="K65" s="38">
        <f t="shared" ref="K65:L65" si="34">SUM(K66:K67)</f>
        <v>50337200000</v>
      </c>
      <c r="L65" s="36">
        <f t="shared" si="34"/>
        <v>0</v>
      </c>
      <c r="M65" s="37"/>
      <c r="N65" s="38">
        <f>SUM(N66:N67)</f>
        <v>0</v>
      </c>
      <c r="O65" s="39">
        <f t="shared" ref="O65:O67" si="35">N65/K65</f>
        <v>0</v>
      </c>
    </row>
    <row r="66" spans="2:15" ht="15.75">
      <c r="B66" s="22"/>
      <c r="C66" s="23"/>
      <c r="D66" s="24" t="s">
        <v>10</v>
      </c>
      <c r="E66" s="25" t="s">
        <v>46</v>
      </c>
      <c r="F66" s="24"/>
      <c r="G66" s="24"/>
      <c r="H66" s="26"/>
      <c r="I66" s="27">
        <v>121628</v>
      </c>
      <c r="J66" s="28">
        <v>150000</v>
      </c>
      <c r="K66" s="28">
        <f t="shared" ref="K66:K67" si="36">I66*J66</f>
        <v>18244200000</v>
      </c>
      <c r="L66" s="27"/>
      <c r="M66" s="28">
        <v>150000</v>
      </c>
      <c r="N66" s="28">
        <f t="shared" ref="N66:N67" si="37">L66*M66</f>
        <v>0</v>
      </c>
      <c r="O66" s="29">
        <f t="shared" si="35"/>
        <v>0</v>
      </c>
    </row>
    <row r="67" spans="2:15" ht="15.75">
      <c r="B67" s="22"/>
      <c r="C67" s="23"/>
      <c r="D67" s="24" t="s">
        <v>12</v>
      </c>
      <c r="E67" s="25" t="s">
        <v>40</v>
      </c>
      <c r="F67" s="24"/>
      <c r="G67" s="24"/>
      <c r="H67" s="26"/>
      <c r="I67" s="27">
        <v>128372</v>
      </c>
      <c r="J67" s="28">
        <v>250000</v>
      </c>
      <c r="K67" s="28">
        <f t="shared" si="36"/>
        <v>32093000000</v>
      </c>
      <c r="L67" s="27"/>
      <c r="M67" s="28">
        <v>250000</v>
      </c>
      <c r="N67" s="28">
        <f t="shared" si="37"/>
        <v>0</v>
      </c>
      <c r="O67" s="29">
        <f t="shared" si="35"/>
        <v>0</v>
      </c>
    </row>
    <row r="68" spans="2:15" ht="15.75">
      <c r="B68" s="22"/>
      <c r="C68" s="23"/>
      <c r="D68" s="24"/>
      <c r="E68" s="25"/>
      <c r="F68" s="24"/>
      <c r="G68" s="24"/>
      <c r="H68" s="26"/>
      <c r="I68" s="46"/>
      <c r="J68" s="49"/>
      <c r="K68" s="41"/>
      <c r="L68" s="46"/>
      <c r="M68" s="49"/>
      <c r="N68" s="41"/>
      <c r="O68" s="29"/>
    </row>
    <row r="69" spans="2:15" ht="15.75">
      <c r="B69" s="31"/>
      <c r="C69" s="32">
        <v>10</v>
      </c>
      <c r="D69" s="33" t="s">
        <v>47</v>
      </c>
      <c r="E69" s="34"/>
      <c r="F69" s="34"/>
      <c r="G69" s="34"/>
      <c r="H69" s="35"/>
      <c r="I69" s="36">
        <v>0</v>
      </c>
      <c r="J69" s="37"/>
      <c r="K69" s="38">
        <f t="shared" ref="K69:L69" si="38">+K70+K73</f>
        <v>0</v>
      </c>
      <c r="L69" s="36">
        <f t="shared" si="38"/>
        <v>0</v>
      </c>
      <c r="M69" s="37"/>
      <c r="N69" s="38">
        <f>+N70+N73</f>
        <v>0</v>
      </c>
      <c r="O69" s="39" t="e">
        <f t="shared" ref="O69:O75" si="39">N69/K69</f>
        <v>#DIV/0!</v>
      </c>
    </row>
    <row r="70" spans="2:15" ht="15.75">
      <c r="B70" s="22"/>
      <c r="C70" s="23"/>
      <c r="D70" s="47" t="s">
        <v>10</v>
      </c>
      <c r="E70" s="45" t="s">
        <v>46</v>
      </c>
      <c r="F70" s="24"/>
      <c r="G70" s="24"/>
      <c r="H70" s="26"/>
      <c r="I70" s="48">
        <v>0</v>
      </c>
      <c r="J70" s="49"/>
      <c r="K70" s="50">
        <f t="shared" ref="K70:L70" si="40">SUM(K71:K72)</f>
        <v>0</v>
      </c>
      <c r="L70" s="48">
        <f t="shared" si="40"/>
        <v>0</v>
      </c>
      <c r="M70" s="49"/>
      <c r="N70" s="50">
        <f>SUM(N71:N72)</f>
        <v>0</v>
      </c>
      <c r="O70" s="29" t="e">
        <f t="shared" si="39"/>
        <v>#DIV/0!</v>
      </c>
    </row>
    <row r="71" spans="2:15" ht="15.75">
      <c r="B71" s="22"/>
      <c r="C71" s="23"/>
      <c r="D71" s="24"/>
      <c r="E71" s="24" t="s">
        <v>33</v>
      </c>
      <c r="F71" s="25" t="s">
        <v>34</v>
      </c>
      <c r="G71" s="24"/>
      <c r="H71" s="26"/>
      <c r="I71" s="27">
        <v>0</v>
      </c>
      <c r="J71" s="28">
        <v>100000</v>
      </c>
      <c r="K71" s="28">
        <f t="shared" ref="K71:K72" si="41">I71*J71</f>
        <v>0</v>
      </c>
      <c r="L71" s="27">
        <f>'[1]L. MAT 09 STNKLBN'!G16</f>
        <v>0</v>
      </c>
      <c r="M71" s="28">
        <v>100000</v>
      </c>
      <c r="N71" s="28">
        <f t="shared" ref="N71:N72" si="42">L71*M71</f>
        <v>0</v>
      </c>
      <c r="O71" s="29" t="e">
        <f t="shared" si="39"/>
        <v>#DIV/0!</v>
      </c>
    </row>
    <row r="72" spans="2:15" ht="15.75">
      <c r="B72" s="22"/>
      <c r="C72" s="23"/>
      <c r="D72" s="24"/>
      <c r="E72" s="24" t="s">
        <v>35</v>
      </c>
      <c r="F72" s="25" t="s">
        <v>36</v>
      </c>
      <c r="G72" s="24"/>
      <c r="H72" s="26"/>
      <c r="I72" s="27">
        <v>0</v>
      </c>
      <c r="J72" s="28">
        <v>100000</v>
      </c>
      <c r="K72" s="28">
        <f t="shared" si="41"/>
        <v>0</v>
      </c>
      <c r="L72" s="27">
        <f>'[1]L. MAT 09 STNKLBN'!I16</f>
        <v>0</v>
      </c>
      <c r="M72" s="28">
        <v>100000</v>
      </c>
      <c r="N72" s="28">
        <f t="shared" si="42"/>
        <v>0</v>
      </c>
      <c r="O72" s="29" t="e">
        <f t="shared" si="39"/>
        <v>#DIV/0!</v>
      </c>
    </row>
    <row r="73" spans="2:15" ht="15.75">
      <c r="B73" s="22"/>
      <c r="C73" s="23"/>
      <c r="D73" s="47" t="s">
        <v>12</v>
      </c>
      <c r="E73" s="45" t="s">
        <v>40</v>
      </c>
      <c r="F73" s="24"/>
      <c r="G73" s="24"/>
      <c r="H73" s="26"/>
      <c r="I73" s="48">
        <v>0</v>
      </c>
      <c r="J73" s="49"/>
      <c r="K73" s="50">
        <f t="shared" ref="K73:L73" si="43">SUM(K74:K75)</f>
        <v>0</v>
      </c>
      <c r="L73" s="48">
        <f t="shared" si="43"/>
        <v>0</v>
      </c>
      <c r="M73" s="49"/>
      <c r="N73" s="50">
        <f>SUM(N74:N75)</f>
        <v>0</v>
      </c>
      <c r="O73" s="29" t="e">
        <f t="shared" si="39"/>
        <v>#DIV/0!</v>
      </c>
    </row>
    <row r="74" spans="2:15" ht="15.75">
      <c r="B74" s="22"/>
      <c r="C74" s="23"/>
      <c r="D74" s="24"/>
      <c r="E74" s="24" t="s">
        <v>33</v>
      </c>
      <c r="F74" s="25" t="s">
        <v>34</v>
      </c>
      <c r="G74" s="24"/>
      <c r="H74" s="26"/>
      <c r="I74" s="27">
        <v>0</v>
      </c>
      <c r="J74" s="28">
        <v>200000</v>
      </c>
      <c r="K74" s="28">
        <f t="shared" ref="K74:K75" si="44">I74*J74</f>
        <v>0</v>
      </c>
      <c r="L74" s="27">
        <f>'[1]L. MAT 09 STNKLBN'!H16</f>
        <v>0</v>
      </c>
      <c r="M74" s="28">
        <v>200000</v>
      </c>
      <c r="N74" s="28">
        <f t="shared" ref="N74:N75" si="45">L74*M74</f>
        <v>0</v>
      </c>
      <c r="O74" s="29" t="e">
        <f t="shared" si="39"/>
        <v>#DIV/0!</v>
      </c>
    </row>
    <row r="75" spans="2:15" ht="15.75">
      <c r="B75" s="22"/>
      <c r="C75" s="23"/>
      <c r="D75" s="24"/>
      <c r="E75" s="24" t="s">
        <v>35</v>
      </c>
      <c r="F75" s="25" t="s">
        <v>36</v>
      </c>
      <c r="G75" s="24"/>
      <c r="H75" s="26"/>
      <c r="I75" s="27">
        <v>0</v>
      </c>
      <c r="J75" s="28">
        <v>200000</v>
      </c>
      <c r="K75" s="28">
        <f t="shared" si="44"/>
        <v>0</v>
      </c>
      <c r="L75" s="27">
        <f>'[1]L. MAT 09 STNKLBN'!J16</f>
        <v>0</v>
      </c>
      <c r="M75" s="28">
        <v>200000</v>
      </c>
      <c r="N75" s="28">
        <f t="shared" si="45"/>
        <v>0</v>
      </c>
      <c r="O75" s="29" t="e">
        <f t="shared" si="39"/>
        <v>#DIV/0!</v>
      </c>
    </row>
    <row r="76" spans="2:15" ht="15.75">
      <c r="B76" s="51"/>
      <c r="C76" s="52"/>
      <c r="D76" s="53"/>
      <c r="E76" s="53"/>
      <c r="F76" s="54"/>
      <c r="G76" s="53"/>
      <c r="H76" s="55"/>
      <c r="I76" s="56"/>
      <c r="J76" s="68"/>
      <c r="K76" s="68"/>
      <c r="L76" s="56"/>
      <c r="M76" s="68"/>
      <c r="N76" s="68"/>
      <c r="O76" s="59"/>
    </row>
    <row r="77" spans="2:15" ht="15.75">
      <c r="B77" s="31"/>
      <c r="C77" s="32">
        <v>11</v>
      </c>
      <c r="D77" s="33" t="s">
        <v>48</v>
      </c>
      <c r="E77" s="42"/>
      <c r="F77" s="34"/>
      <c r="G77" s="34"/>
      <c r="H77" s="35"/>
      <c r="I77" s="36">
        <v>0</v>
      </c>
      <c r="J77" s="37"/>
      <c r="K77" s="38">
        <f t="shared" ref="K77:L77" si="46">K78+K81</f>
        <v>0</v>
      </c>
      <c r="L77" s="36">
        <f t="shared" si="46"/>
        <v>0</v>
      </c>
      <c r="M77" s="37"/>
      <c r="N77" s="38">
        <f>N78+N81</f>
        <v>0</v>
      </c>
      <c r="O77" s="39" t="e">
        <f t="shared" ref="O77:O83" si="47">N77/K77</f>
        <v>#DIV/0!</v>
      </c>
    </row>
    <row r="78" spans="2:15" ht="15.75">
      <c r="B78" s="22"/>
      <c r="C78" s="23"/>
      <c r="D78" s="47" t="s">
        <v>10</v>
      </c>
      <c r="E78" s="45" t="s">
        <v>46</v>
      </c>
      <c r="F78" s="24"/>
      <c r="G78" s="24"/>
      <c r="H78" s="26"/>
      <c r="I78" s="48">
        <v>0</v>
      </c>
      <c r="J78" s="49"/>
      <c r="K78" s="50">
        <f t="shared" ref="K78:L78" si="48">SUM(K79:K80)</f>
        <v>0</v>
      </c>
      <c r="L78" s="48">
        <f t="shared" si="48"/>
        <v>0</v>
      </c>
      <c r="M78" s="49"/>
      <c r="N78" s="50">
        <f>SUM(N79:N80)</f>
        <v>0</v>
      </c>
      <c r="O78" s="29" t="e">
        <f t="shared" si="47"/>
        <v>#DIV/0!</v>
      </c>
    </row>
    <row r="79" spans="2:15" ht="15.75">
      <c r="B79" s="22"/>
      <c r="C79" s="23"/>
      <c r="D79" s="24"/>
      <c r="E79" s="24" t="s">
        <v>33</v>
      </c>
      <c r="F79" s="25" t="s">
        <v>34</v>
      </c>
      <c r="G79" s="24"/>
      <c r="H79" s="26"/>
      <c r="I79" s="27">
        <v>0</v>
      </c>
      <c r="J79" s="28">
        <v>100000</v>
      </c>
      <c r="K79" s="28">
        <f t="shared" ref="K79:K80" si="49">I79*J79</f>
        <v>0</v>
      </c>
      <c r="L79" s="27">
        <f>'[1]L. MAT 10 TNKB LBN'!G16</f>
        <v>0</v>
      </c>
      <c r="M79" s="28">
        <v>100000</v>
      </c>
      <c r="N79" s="28">
        <f t="shared" ref="N79:N80" si="50">L79*M79</f>
        <v>0</v>
      </c>
      <c r="O79" s="29" t="e">
        <f t="shared" si="47"/>
        <v>#DIV/0!</v>
      </c>
    </row>
    <row r="80" spans="2:15" ht="15.75">
      <c r="B80" s="22"/>
      <c r="C80" s="23"/>
      <c r="D80" s="24"/>
      <c r="E80" s="24" t="s">
        <v>35</v>
      </c>
      <c r="F80" s="25" t="s">
        <v>36</v>
      </c>
      <c r="G80" s="24"/>
      <c r="H80" s="26"/>
      <c r="I80" s="27"/>
      <c r="J80" s="28">
        <v>100000</v>
      </c>
      <c r="K80" s="28">
        <f t="shared" si="49"/>
        <v>0</v>
      </c>
      <c r="L80" s="27">
        <f>'[1]L. MAT 10 TNKB LBN'!I16</f>
        <v>0</v>
      </c>
      <c r="M80" s="28">
        <v>100000</v>
      </c>
      <c r="N80" s="28">
        <f t="shared" si="50"/>
        <v>0</v>
      </c>
      <c r="O80" s="29" t="e">
        <f t="shared" si="47"/>
        <v>#DIV/0!</v>
      </c>
    </row>
    <row r="81" spans="2:15" ht="15.75">
      <c r="B81" s="22"/>
      <c r="C81" s="23"/>
      <c r="D81" s="47" t="s">
        <v>12</v>
      </c>
      <c r="E81" s="45" t="s">
        <v>40</v>
      </c>
      <c r="F81" s="24"/>
      <c r="G81" s="24"/>
      <c r="H81" s="26"/>
      <c r="I81" s="48">
        <v>0</v>
      </c>
      <c r="J81" s="49"/>
      <c r="K81" s="50">
        <f t="shared" ref="K81:L81" si="51">SUM(K82:K83)</f>
        <v>0</v>
      </c>
      <c r="L81" s="48">
        <f t="shared" si="51"/>
        <v>0</v>
      </c>
      <c r="M81" s="49"/>
      <c r="N81" s="50">
        <f>SUM(N82:N83)</f>
        <v>0</v>
      </c>
      <c r="O81" s="29" t="e">
        <f t="shared" si="47"/>
        <v>#DIV/0!</v>
      </c>
    </row>
    <row r="82" spans="2:15" ht="15.75">
      <c r="B82" s="22"/>
      <c r="C82" s="23"/>
      <c r="D82" s="24"/>
      <c r="E82" s="24" t="s">
        <v>33</v>
      </c>
      <c r="F82" s="25" t="s">
        <v>34</v>
      </c>
      <c r="G82" s="24"/>
      <c r="H82" s="26"/>
      <c r="I82" s="27">
        <v>0</v>
      </c>
      <c r="J82" s="28">
        <v>200000</v>
      </c>
      <c r="K82" s="28">
        <f t="shared" ref="K82:K83" si="52">I82*J82</f>
        <v>0</v>
      </c>
      <c r="L82" s="27">
        <f>'[1]L. MAT 10 TNKB LBN'!H16</f>
        <v>0</v>
      </c>
      <c r="M82" s="28">
        <v>200000</v>
      </c>
      <c r="N82" s="28">
        <f t="shared" ref="N82:N83" si="53">L82*M82</f>
        <v>0</v>
      </c>
      <c r="O82" s="29" t="e">
        <f t="shared" si="47"/>
        <v>#DIV/0!</v>
      </c>
    </row>
    <row r="83" spans="2:15" ht="15.75">
      <c r="B83" s="22"/>
      <c r="C83" s="23"/>
      <c r="D83" s="24"/>
      <c r="E83" s="24" t="s">
        <v>35</v>
      </c>
      <c r="F83" s="25" t="s">
        <v>36</v>
      </c>
      <c r="G83" s="24"/>
      <c r="H83" s="26"/>
      <c r="I83" s="27">
        <v>0</v>
      </c>
      <c r="J83" s="28">
        <v>200000</v>
      </c>
      <c r="K83" s="28">
        <f t="shared" si="52"/>
        <v>0</v>
      </c>
      <c r="L83" s="27">
        <f>'[1]L. MAT 10 TNKB LBN'!J16</f>
        <v>0</v>
      </c>
      <c r="M83" s="28">
        <v>200000</v>
      </c>
      <c r="N83" s="28">
        <f t="shared" si="53"/>
        <v>0</v>
      </c>
      <c r="O83" s="29" t="e">
        <f t="shared" si="47"/>
        <v>#DIV/0!</v>
      </c>
    </row>
    <row r="84" spans="2:15" ht="15.75">
      <c r="B84" s="22"/>
      <c r="C84" s="23"/>
      <c r="D84" s="24"/>
      <c r="E84" s="25"/>
      <c r="F84" s="24"/>
      <c r="G84" s="24"/>
      <c r="H84" s="26"/>
      <c r="I84" s="27"/>
      <c r="J84" s="49"/>
      <c r="K84" s="41"/>
      <c r="L84" s="27"/>
      <c r="M84" s="49"/>
      <c r="N84" s="41"/>
      <c r="O84" s="29"/>
    </row>
    <row r="85" spans="2:15" ht="15.75">
      <c r="B85" s="31"/>
      <c r="C85" s="32">
        <v>12</v>
      </c>
      <c r="D85" s="33" t="s">
        <v>49</v>
      </c>
      <c r="E85" s="42"/>
      <c r="F85" s="42"/>
      <c r="G85" s="42"/>
      <c r="H85" s="35"/>
      <c r="I85" s="36">
        <v>12000</v>
      </c>
      <c r="J85" s="37"/>
      <c r="K85" s="38">
        <f t="shared" ref="K85:L85" si="54">+K86+K89+K92+K95</f>
        <v>99500000000</v>
      </c>
      <c r="L85" s="36">
        <f t="shared" si="54"/>
        <v>0</v>
      </c>
      <c r="M85" s="37"/>
      <c r="N85" s="38">
        <f>+N86+N89+N92+N95</f>
        <v>0</v>
      </c>
      <c r="O85" s="39">
        <f t="shared" ref="O85:O97" si="55">N85/K85</f>
        <v>0</v>
      </c>
    </row>
    <row r="86" spans="2:15" ht="15.75">
      <c r="B86" s="22"/>
      <c r="C86" s="23"/>
      <c r="D86" s="47" t="s">
        <v>10</v>
      </c>
      <c r="E86" s="45" t="s">
        <v>50</v>
      </c>
      <c r="F86" s="24"/>
      <c r="G86" s="24"/>
      <c r="H86" s="26"/>
      <c r="I86" s="48">
        <v>1053</v>
      </c>
      <c r="J86" s="49"/>
      <c r="K86" s="50">
        <f t="shared" ref="K86:L86" si="56">SUM(K87:K88)</f>
        <v>16585000000</v>
      </c>
      <c r="L86" s="48">
        <f t="shared" si="56"/>
        <v>0</v>
      </c>
      <c r="M86" s="49"/>
      <c r="N86" s="50">
        <f>SUM(N87:N88)</f>
        <v>0</v>
      </c>
      <c r="O86" s="29">
        <f t="shared" si="55"/>
        <v>0</v>
      </c>
    </row>
    <row r="87" spans="2:15" ht="15.75">
      <c r="B87" s="22"/>
      <c r="C87" s="23"/>
      <c r="D87" s="24"/>
      <c r="E87" s="24" t="s">
        <v>33</v>
      </c>
      <c r="F87" s="25" t="s">
        <v>51</v>
      </c>
      <c r="G87" s="24"/>
      <c r="H87" s="26"/>
      <c r="I87" s="27">
        <v>158</v>
      </c>
      <c r="J87" s="28">
        <v>20000000</v>
      </c>
      <c r="K87" s="28">
        <f t="shared" ref="K87:K88" si="57">I87*J87</f>
        <v>3160000000</v>
      </c>
      <c r="L87" s="27"/>
      <c r="M87" s="28">
        <v>20000000</v>
      </c>
      <c r="N87" s="28">
        <f t="shared" ref="N87:N88" si="58">L87*M87</f>
        <v>0</v>
      </c>
      <c r="O87" s="29">
        <f t="shared" si="55"/>
        <v>0</v>
      </c>
    </row>
    <row r="88" spans="2:15" ht="15.75">
      <c r="B88" s="22"/>
      <c r="C88" s="23"/>
      <c r="D88" s="24"/>
      <c r="E88" s="24" t="s">
        <v>35</v>
      </c>
      <c r="F88" s="25" t="s">
        <v>52</v>
      </c>
      <c r="G88" s="24"/>
      <c r="H88" s="26"/>
      <c r="I88" s="27">
        <v>895</v>
      </c>
      <c r="J88" s="28">
        <v>15000000</v>
      </c>
      <c r="K88" s="28">
        <f t="shared" si="57"/>
        <v>13425000000</v>
      </c>
      <c r="L88" s="27"/>
      <c r="M88" s="28">
        <v>15000000</v>
      </c>
      <c r="N88" s="28">
        <f t="shared" si="58"/>
        <v>0</v>
      </c>
      <c r="O88" s="29">
        <f t="shared" si="55"/>
        <v>0</v>
      </c>
    </row>
    <row r="89" spans="2:15" ht="15.75">
      <c r="B89" s="22"/>
      <c r="C89" s="23"/>
      <c r="D89" s="47" t="s">
        <v>12</v>
      </c>
      <c r="E89" s="45" t="s">
        <v>53</v>
      </c>
      <c r="F89" s="24"/>
      <c r="G89" s="24"/>
      <c r="H89" s="26"/>
      <c r="I89" s="48">
        <v>2383</v>
      </c>
      <c r="J89" s="49"/>
      <c r="K89" s="50">
        <f t="shared" ref="K89:L89" si="59">SUM(K90:K91)</f>
        <v>25435000000</v>
      </c>
      <c r="L89" s="48">
        <f t="shared" si="59"/>
        <v>0</v>
      </c>
      <c r="M89" s="49"/>
      <c r="N89" s="50">
        <f>SUM(N90:N91)</f>
        <v>0</v>
      </c>
      <c r="O89" s="29">
        <f t="shared" si="55"/>
        <v>0</v>
      </c>
    </row>
    <row r="90" spans="2:15" ht="15.75">
      <c r="B90" s="22"/>
      <c r="C90" s="23"/>
      <c r="D90" s="24"/>
      <c r="E90" s="24" t="s">
        <v>33</v>
      </c>
      <c r="F90" s="25" t="s">
        <v>51</v>
      </c>
      <c r="G90" s="24"/>
      <c r="H90" s="26"/>
      <c r="I90" s="27">
        <v>321</v>
      </c>
      <c r="J90" s="28">
        <v>15000000</v>
      </c>
      <c r="K90" s="28">
        <f t="shared" ref="K90:K91" si="60">I90*J90</f>
        <v>4815000000</v>
      </c>
      <c r="L90" s="27"/>
      <c r="M90" s="28">
        <v>15000000</v>
      </c>
      <c r="N90" s="28">
        <f t="shared" ref="N90:N91" si="61">L90*M90</f>
        <v>0</v>
      </c>
      <c r="O90" s="29">
        <f t="shared" si="55"/>
        <v>0</v>
      </c>
    </row>
    <row r="91" spans="2:15" ht="15">
      <c r="B91" s="69"/>
      <c r="C91" s="70"/>
      <c r="D91" s="25"/>
      <c r="E91" s="24" t="s">
        <v>35</v>
      </c>
      <c r="F91" s="25" t="s">
        <v>52</v>
      </c>
      <c r="G91" s="25"/>
      <c r="H91" s="71"/>
      <c r="I91" s="27">
        <v>2062</v>
      </c>
      <c r="J91" s="28">
        <v>10000000</v>
      </c>
      <c r="K91" s="28">
        <f t="shared" si="60"/>
        <v>20620000000</v>
      </c>
      <c r="L91" s="27"/>
      <c r="M91" s="28">
        <v>10000000</v>
      </c>
      <c r="N91" s="28">
        <f t="shared" si="61"/>
        <v>0</v>
      </c>
      <c r="O91" s="29">
        <f t="shared" si="55"/>
        <v>0</v>
      </c>
    </row>
    <row r="92" spans="2:15" ht="15.75">
      <c r="B92" s="69"/>
      <c r="C92" s="70"/>
      <c r="D92" s="47" t="s">
        <v>14</v>
      </c>
      <c r="E92" s="45" t="s">
        <v>54</v>
      </c>
      <c r="F92" s="25"/>
      <c r="G92" s="25"/>
      <c r="H92" s="71"/>
      <c r="I92" s="48">
        <v>4609</v>
      </c>
      <c r="J92" s="28"/>
      <c r="K92" s="50">
        <f t="shared" ref="K92:L92" si="62">SUM(K93:K94)</f>
        <v>35915000000</v>
      </c>
      <c r="L92" s="48">
        <f t="shared" si="62"/>
        <v>0</v>
      </c>
      <c r="M92" s="28"/>
      <c r="N92" s="50">
        <f>SUM(N93:N94)</f>
        <v>0</v>
      </c>
      <c r="O92" s="29">
        <f t="shared" si="55"/>
        <v>0</v>
      </c>
    </row>
    <row r="93" spans="2:15" ht="15">
      <c r="B93" s="69"/>
      <c r="C93" s="70"/>
      <c r="D93" s="24"/>
      <c r="E93" s="24" t="s">
        <v>33</v>
      </c>
      <c r="F93" s="25" t="s">
        <v>51</v>
      </c>
      <c r="G93" s="25"/>
      <c r="H93" s="71"/>
      <c r="I93" s="27">
        <v>539</v>
      </c>
      <c r="J93" s="28">
        <v>10000000</v>
      </c>
      <c r="K93" s="28">
        <f t="shared" ref="K93:K94" si="63">I93*J93</f>
        <v>5390000000</v>
      </c>
      <c r="L93" s="27"/>
      <c r="M93" s="28">
        <v>10000000</v>
      </c>
      <c r="N93" s="28">
        <f t="shared" ref="N93:N94" si="64">L93*M93</f>
        <v>0</v>
      </c>
      <c r="O93" s="29">
        <f t="shared" si="55"/>
        <v>0</v>
      </c>
    </row>
    <row r="94" spans="2:15" ht="15">
      <c r="B94" s="69"/>
      <c r="C94" s="70"/>
      <c r="D94" s="24"/>
      <c r="E94" s="24" t="s">
        <v>35</v>
      </c>
      <c r="F94" s="25" t="s">
        <v>52</v>
      </c>
      <c r="G94" s="25"/>
      <c r="H94" s="71"/>
      <c r="I94" s="27">
        <v>4070</v>
      </c>
      <c r="J94" s="28">
        <v>7500000</v>
      </c>
      <c r="K94" s="28">
        <f t="shared" si="63"/>
        <v>30525000000</v>
      </c>
      <c r="L94" s="27"/>
      <c r="M94" s="28">
        <v>7500000</v>
      </c>
      <c r="N94" s="28">
        <f t="shared" si="64"/>
        <v>0</v>
      </c>
      <c r="O94" s="29">
        <f t="shared" si="55"/>
        <v>0</v>
      </c>
    </row>
    <row r="95" spans="2:15" ht="15.75">
      <c r="B95" s="69"/>
      <c r="C95" s="70"/>
      <c r="D95" s="47" t="s">
        <v>16</v>
      </c>
      <c r="E95" s="45" t="s">
        <v>55</v>
      </c>
      <c r="F95" s="25"/>
      <c r="G95" s="25"/>
      <c r="H95" s="71"/>
      <c r="I95" s="48">
        <v>3955</v>
      </c>
      <c r="J95" s="28"/>
      <c r="K95" s="50">
        <f t="shared" ref="K95:L95" si="65">SUM(K96:K97)</f>
        <v>21565000000</v>
      </c>
      <c r="L95" s="48">
        <f t="shared" si="65"/>
        <v>0</v>
      </c>
      <c r="M95" s="28"/>
      <c r="N95" s="50">
        <f>SUM(N96:N97)</f>
        <v>0</v>
      </c>
      <c r="O95" s="29">
        <f t="shared" si="55"/>
        <v>0</v>
      </c>
    </row>
    <row r="96" spans="2:15" ht="15">
      <c r="B96" s="69"/>
      <c r="C96" s="70"/>
      <c r="D96" s="25"/>
      <c r="E96" s="24" t="s">
        <v>33</v>
      </c>
      <c r="F96" s="25" t="s">
        <v>51</v>
      </c>
      <c r="G96" s="25"/>
      <c r="H96" s="71"/>
      <c r="I96" s="27">
        <v>716</v>
      </c>
      <c r="J96" s="28">
        <v>7500000</v>
      </c>
      <c r="K96" s="28">
        <f t="shared" ref="K96:K97" si="66">I96*J96</f>
        <v>5370000000</v>
      </c>
      <c r="L96" s="27"/>
      <c r="M96" s="28">
        <v>7500000</v>
      </c>
      <c r="N96" s="28">
        <f t="shared" ref="N96:N97" si="67">L96*M96</f>
        <v>0</v>
      </c>
      <c r="O96" s="29">
        <f t="shared" si="55"/>
        <v>0</v>
      </c>
    </row>
    <row r="97" spans="2:15" ht="15">
      <c r="B97" s="69"/>
      <c r="C97" s="70"/>
      <c r="D97" s="25"/>
      <c r="E97" s="24" t="s">
        <v>35</v>
      </c>
      <c r="F97" s="25" t="s">
        <v>52</v>
      </c>
      <c r="G97" s="25"/>
      <c r="H97" s="71"/>
      <c r="I97" s="27">
        <v>3239</v>
      </c>
      <c r="J97" s="28">
        <v>5000000</v>
      </c>
      <c r="K97" s="28">
        <f t="shared" si="66"/>
        <v>16195000000</v>
      </c>
      <c r="L97" s="27"/>
      <c r="M97" s="28">
        <v>5000000</v>
      </c>
      <c r="N97" s="28">
        <f t="shared" si="67"/>
        <v>0</v>
      </c>
      <c r="O97" s="29">
        <f t="shared" si="55"/>
        <v>0</v>
      </c>
    </row>
    <row r="98" spans="2:15" ht="15">
      <c r="B98" s="72"/>
      <c r="C98" s="73"/>
      <c r="D98" s="74"/>
      <c r="E98" s="74"/>
      <c r="F98" s="74"/>
      <c r="G98" s="74"/>
      <c r="H98" s="75"/>
      <c r="I98" s="76"/>
      <c r="J98" s="77"/>
      <c r="K98" s="78"/>
      <c r="L98" s="76"/>
      <c r="M98" s="77"/>
      <c r="N98" s="78"/>
      <c r="O98" s="79"/>
    </row>
    <row r="99" spans="2:15" ht="15.75">
      <c r="B99" s="80"/>
      <c r="C99" s="105" t="s">
        <v>56</v>
      </c>
      <c r="D99" s="103"/>
      <c r="E99" s="103"/>
      <c r="F99" s="103"/>
      <c r="G99" s="103"/>
      <c r="H99" s="104"/>
      <c r="I99" s="81">
        <f>SUM(I13,I24,I35,I37,I45,I49,I53,I57,I65,I69,I77,I85)</f>
        <v>19337001</v>
      </c>
      <c r="J99" s="81"/>
      <c r="K99" s="81">
        <f>SUM(K13,K24,K35,K37,K45,K49,K53,K57,K65,K69,K77,K85)</f>
        <v>2210588370000</v>
      </c>
      <c r="L99" s="81">
        <f>SUM(L13,L24,L35,L37,L45,L49,L53,L57,L65,L69,L77,L85)</f>
        <v>0</v>
      </c>
      <c r="M99" s="81"/>
      <c r="N99" s="81">
        <f>SUM(N13,N24,N35,N37,N45,N49,N53,N57,N65,N69,N77,N85)</f>
        <v>0</v>
      </c>
      <c r="O99" s="82">
        <f>N99/K99</f>
        <v>0</v>
      </c>
    </row>
    <row r="100" spans="2:15" ht="15.75">
      <c r="B100" s="83"/>
      <c r="C100" s="84"/>
      <c r="D100" s="84"/>
      <c r="E100" s="84"/>
      <c r="F100" s="84"/>
      <c r="G100" s="84"/>
      <c r="H100" s="84"/>
      <c r="I100" s="85"/>
      <c r="J100" s="84"/>
      <c r="K100" s="84"/>
      <c r="L100" s="85"/>
      <c r="M100" s="84"/>
      <c r="N100" s="86"/>
      <c r="O100" s="87"/>
    </row>
    <row r="101" spans="2:15" ht="15.75">
      <c r="B101" s="83"/>
      <c r="C101" s="88"/>
      <c r="D101" s="84"/>
      <c r="E101" s="84"/>
      <c r="F101" s="84"/>
      <c r="G101" s="84"/>
      <c r="H101" s="84"/>
      <c r="I101" s="84"/>
      <c r="J101" s="84"/>
      <c r="K101" s="84"/>
      <c r="L101" s="84"/>
      <c r="M101" s="106"/>
      <c r="N101" s="100"/>
      <c r="O101" s="100"/>
    </row>
    <row r="102" spans="2:15" ht="15.75">
      <c r="B102" s="101"/>
      <c r="C102" s="100"/>
      <c r="D102" s="100"/>
      <c r="E102" s="100"/>
      <c r="F102" s="100"/>
      <c r="G102" s="84"/>
      <c r="H102" s="84"/>
      <c r="I102" s="84"/>
      <c r="J102" s="84"/>
      <c r="K102" s="84"/>
      <c r="L102" s="84"/>
      <c r="M102" s="101"/>
      <c r="N102" s="100"/>
      <c r="O102" s="100"/>
    </row>
    <row r="103" spans="2:15" ht="15.75">
      <c r="B103" s="89"/>
      <c r="C103" s="89"/>
      <c r="D103" s="89"/>
      <c r="E103" s="84"/>
      <c r="F103" s="84"/>
      <c r="G103" s="84"/>
      <c r="H103" s="84"/>
      <c r="I103" s="86"/>
      <c r="J103" s="86"/>
      <c r="K103" s="86"/>
      <c r="L103" s="86"/>
      <c r="M103" s="89"/>
      <c r="N103" s="89"/>
      <c r="O103" s="89"/>
    </row>
    <row r="104" spans="2:15" ht="15.75">
      <c r="B104" s="101"/>
      <c r="C104" s="100"/>
      <c r="D104" s="100"/>
      <c r="E104" s="100"/>
      <c r="F104" s="100"/>
      <c r="G104" s="84"/>
      <c r="H104" s="84"/>
      <c r="I104" s="84"/>
      <c r="J104" s="84"/>
      <c r="K104" s="84"/>
      <c r="L104" s="84"/>
      <c r="M104" s="101"/>
      <c r="N104" s="100"/>
      <c r="O104" s="100"/>
    </row>
    <row r="105" spans="2:15" ht="15.75">
      <c r="B105" s="89"/>
      <c r="C105" s="89"/>
      <c r="D105" s="89"/>
      <c r="E105" s="84"/>
      <c r="F105" s="84"/>
      <c r="G105" s="84"/>
      <c r="H105" s="84"/>
      <c r="I105" s="84"/>
      <c r="J105" s="84"/>
      <c r="K105" s="84"/>
      <c r="L105" s="84"/>
      <c r="M105" s="89"/>
      <c r="N105" s="89"/>
      <c r="O105" s="89"/>
    </row>
    <row r="106" spans="2:15" ht="15.75">
      <c r="B106" s="99"/>
      <c r="C106" s="100"/>
      <c r="D106" s="100"/>
      <c r="E106" s="100"/>
      <c r="F106" s="100"/>
      <c r="G106" s="84"/>
      <c r="H106" s="84"/>
      <c r="I106" s="84"/>
      <c r="J106" s="84"/>
      <c r="K106" s="84"/>
      <c r="L106" s="84"/>
      <c r="M106" s="99"/>
      <c r="N106" s="100"/>
      <c r="O106" s="100"/>
    </row>
    <row r="107" spans="2:15" ht="15.75">
      <c r="B107" s="101"/>
      <c r="C107" s="100"/>
      <c r="D107" s="100"/>
      <c r="E107" s="100"/>
      <c r="F107" s="100"/>
      <c r="G107" s="84"/>
      <c r="H107" s="84"/>
      <c r="I107" s="84"/>
      <c r="J107" s="84"/>
      <c r="K107" s="84"/>
      <c r="L107" s="84"/>
      <c r="M107" s="101"/>
      <c r="N107" s="100"/>
      <c r="O107" s="100"/>
    </row>
  </sheetData>
  <mergeCells count="20">
    <mergeCell ref="B2:G5"/>
    <mergeCell ref="B6:O6"/>
    <mergeCell ref="B7:O7"/>
    <mergeCell ref="B9:H9"/>
    <mergeCell ref="B10:B11"/>
    <mergeCell ref="C10:H11"/>
    <mergeCell ref="I10:K10"/>
    <mergeCell ref="L10:N10"/>
    <mergeCell ref="O10:O11"/>
    <mergeCell ref="B106:F106"/>
    <mergeCell ref="M106:O106"/>
    <mergeCell ref="B107:F107"/>
    <mergeCell ref="M107:O107"/>
    <mergeCell ref="C12:H12"/>
    <mergeCell ref="C99:H99"/>
    <mergeCell ref="M101:O101"/>
    <mergeCell ref="B102:F102"/>
    <mergeCell ref="M102:O102"/>
    <mergeCell ref="B104:F104"/>
    <mergeCell ref="M104:O1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7"/>
  <sheetViews>
    <sheetView workbookViewId="0">
      <selection activeCell="J105" sqref="J105"/>
    </sheetView>
  </sheetViews>
  <sheetFormatPr defaultRowHeight="14.25"/>
  <cols>
    <col min="2" max="2" width="5.875" customWidth="1"/>
    <col min="3" max="10" width="16.125" customWidth="1"/>
    <col min="11" max="11" width="26.25" customWidth="1"/>
    <col min="12" max="13" width="16.125" customWidth="1"/>
    <col min="14" max="14" width="20.75" customWidth="1"/>
    <col min="15" max="15" width="16.125" customWidth="1"/>
  </cols>
  <sheetData>
    <row r="1" spans="2:15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2:15" ht="15">
      <c r="B2" s="107"/>
      <c r="C2" s="108"/>
      <c r="D2" s="108"/>
      <c r="E2" s="108"/>
      <c r="F2" s="108"/>
      <c r="G2" s="108"/>
      <c r="H2" s="3"/>
      <c r="I2" s="3"/>
      <c r="J2" s="3"/>
      <c r="K2" s="3"/>
      <c r="L2" s="3"/>
      <c r="M2" s="3"/>
      <c r="N2" s="3"/>
      <c r="O2" s="4"/>
    </row>
    <row r="3" spans="2:15" ht="15">
      <c r="B3" s="108"/>
      <c r="C3" s="100"/>
      <c r="D3" s="100"/>
      <c r="E3" s="100"/>
      <c r="F3" s="100"/>
      <c r="G3" s="108"/>
      <c r="H3" s="3"/>
      <c r="I3" s="3"/>
      <c r="J3" s="3"/>
      <c r="K3" s="3"/>
      <c r="L3" s="3"/>
      <c r="M3" s="3"/>
      <c r="N3" s="3"/>
      <c r="O3" s="4"/>
    </row>
    <row r="4" spans="2:15" ht="15.75">
      <c r="B4" s="108"/>
      <c r="C4" s="100"/>
      <c r="D4" s="100"/>
      <c r="E4" s="100"/>
      <c r="F4" s="100"/>
      <c r="G4" s="108"/>
      <c r="H4" s="5"/>
      <c r="I4" s="3"/>
      <c r="J4" s="6"/>
      <c r="K4" s="7"/>
      <c r="L4" s="3"/>
      <c r="M4" s="6"/>
      <c r="N4" s="7"/>
      <c r="O4" s="4"/>
    </row>
    <row r="5" spans="2:15" ht="15.75">
      <c r="B5" s="108"/>
      <c r="C5" s="108"/>
      <c r="D5" s="108"/>
      <c r="E5" s="108"/>
      <c r="F5" s="108"/>
      <c r="G5" s="108"/>
      <c r="H5" s="5"/>
      <c r="I5" s="5"/>
      <c r="J5" s="8"/>
      <c r="K5" s="6"/>
      <c r="L5" s="5"/>
      <c r="M5" s="8"/>
      <c r="N5" s="6"/>
      <c r="O5" s="4"/>
    </row>
    <row r="6" spans="2:15" ht="15.75">
      <c r="B6" s="109" t="s">
        <v>57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</row>
    <row r="7" spans="2:15" ht="15.75">
      <c r="B7" s="110" t="s">
        <v>69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</row>
    <row r="8" spans="2:15" ht="15.7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ht="15.75">
      <c r="B9" s="111"/>
      <c r="C9" s="108"/>
      <c r="D9" s="108"/>
      <c r="E9" s="108"/>
      <c r="F9" s="108"/>
      <c r="G9" s="108"/>
      <c r="H9" s="108"/>
      <c r="I9" s="11"/>
      <c r="J9" s="9"/>
      <c r="K9" s="11"/>
      <c r="L9" s="11"/>
      <c r="M9" s="9"/>
      <c r="N9" s="11"/>
      <c r="O9" s="4"/>
    </row>
    <row r="10" spans="2:15" ht="15.75">
      <c r="B10" s="112" t="s">
        <v>0</v>
      </c>
      <c r="C10" s="114" t="s">
        <v>1</v>
      </c>
      <c r="D10" s="115"/>
      <c r="E10" s="115"/>
      <c r="F10" s="115"/>
      <c r="G10" s="115"/>
      <c r="H10" s="116"/>
      <c r="I10" s="120" t="s">
        <v>2</v>
      </c>
      <c r="J10" s="103"/>
      <c r="K10" s="104"/>
      <c r="L10" s="120" t="s">
        <v>3</v>
      </c>
      <c r="M10" s="103"/>
      <c r="N10" s="104"/>
      <c r="O10" s="121" t="s">
        <v>4</v>
      </c>
    </row>
    <row r="11" spans="2:15" ht="15.75">
      <c r="B11" s="113"/>
      <c r="C11" s="117"/>
      <c r="D11" s="118"/>
      <c r="E11" s="118"/>
      <c r="F11" s="118"/>
      <c r="G11" s="118"/>
      <c r="H11" s="119"/>
      <c r="I11" s="12" t="s">
        <v>5</v>
      </c>
      <c r="J11" s="12" t="s">
        <v>6</v>
      </c>
      <c r="K11" s="12" t="s">
        <v>7</v>
      </c>
      <c r="L11" s="12" t="s">
        <v>5</v>
      </c>
      <c r="M11" s="12" t="s">
        <v>6</v>
      </c>
      <c r="N11" s="12" t="s">
        <v>8</v>
      </c>
      <c r="O11" s="122"/>
    </row>
    <row r="12" spans="2:15" ht="15.75">
      <c r="B12" s="12">
        <v>1</v>
      </c>
      <c r="C12" s="102">
        <v>2</v>
      </c>
      <c r="D12" s="103"/>
      <c r="E12" s="103"/>
      <c r="F12" s="103"/>
      <c r="G12" s="103"/>
      <c r="H12" s="104"/>
      <c r="I12" s="12">
        <v>3</v>
      </c>
      <c r="J12" s="12">
        <v>4</v>
      </c>
      <c r="K12" s="12">
        <v>5</v>
      </c>
      <c r="L12" s="12">
        <v>3</v>
      </c>
      <c r="M12" s="12">
        <v>4</v>
      </c>
      <c r="N12" s="12">
        <v>5</v>
      </c>
      <c r="O12" s="12">
        <v>6</v>
      </c>
    </row>
    <row r="13" spans="2:15" ht="15.75">
      <c r="B13" s="13"/>
      <c r="C13" s="14">
        <v>1</v>
      </c>
      <c r="D13" s="15" t="s">
        <v>9</v>
      </c>
      <c r="E13" s="16"/>
      <c r="F13" s="16"/>
      <c r="G13" s="16"/>
      <c r="H13" s="17"/>
      <c r="I13" s="18">
        <v>1002980</v>
      </c>
      <c r="J13" s="19"/>
      <c r="K13" s="20">
        <f t="shared" ref="K13:L13" si="0">SUM(K14:K22)</f>
        <v>106956030000</v>
      </c>
      <c r="L13" s="18">
        <f t="shared" si="0"/>
        <v>0</v>
      </c>
      <c r="M13" s="19"/>
      <c r="N13" s="20">
        <f>SUM(N14:N22)</f>
        <v>0</v>
      </c>
      <c r="O13" s="21">
        <f t="shared" ref="O13:O22" si="1">N13/K13</f>
        <v>0</v>
      </c>
    </row>
    <row r="14" spans="2:15" ht="15.75">
      <c r="B14" s="22"/>
      <c r="C14" s="23"/>
      <c r="D14" s="24" t="s">
        <v>10</v>
      </c>
      <c r="E14" s="25" t="s">
        <v>11</v>
      </c>
      <c r="F14" s="24"/>
      <c r="G14" s="24"/>
      <c r="H14" s="26"/>
      <c r="I14" s="27">
        <v>294130</v>
      </c>
      <c r="J14" s="28">
        <v>120000</v>
      </c>
      <c r="K14" s="28">
        <f t="shared" ref="K14:K22" si="2">I14*J14</f>
        <v>35295600000</v>
      </c>
      <c r="L14" s="27"/>
      <c r="M14" s="28">
        <v>120000</v>
      </c>
      <c r="N14" s="28">
        <f t="shared" ref="N14:N22" si="3">L14*M14</f>
        <v>0</v>
      </c>
      <c r="O14" s="29">
        <f t="shared" si="1"/>
        <v>0</v>
      </c>
    </row>
    <row r="15" spans="2:15" ht="15.75">
      <c r="B15" s="22"/>
      <c r="C15" s="23"/>
      <c r="D15" s="24" t="s">
        <v>12</v>
      </c>
      <c r="E15" s="25" t="s">
        <v>13</v>
      </c>
      <c r="F15" s="24"/>
      <c r="G15" s="24"/>
      <c r="H15" s="26"/>
      <c r="I15" s="27">
        <v>30304</v>
      </c>
      <c r="J15" s="28">
        <v>120000</v>
      </c>
      <c r="K15" s="28">
        <f t="shared" si="2"/>
        <v>3636480000</v>
      </c>
      <c r="L15" s="27"/>
      <c r="M15" s="28">
        <v>120000</v>
      </c>
      <c r="N15" s="28">
        <f t="shared" si="3"/>
        <v>0</v>
      </c>
      <c r="O15" s="29">
        <f t="shared" si="1"/>
        <v>0</v>
      </c>
    </row>
    <row r="16" spans="2:15" ht="15.75">
      <c r="B16" s="22"/>
      <c r="C16" s="23"/>
      <c r="D16" s="24" t="s">
        <v>14</v>
      </c>
      <c r="E16" s="25" t="s">
        <v>15</v>
      </c>
      <c r="F16" s="24"/>
      <c r="G16" s="24"/>
      <c r="H16" s="26"/>
      <c r="I16" s="27">
        <v>13370</v>
      </c>
      <c r="J16" s="28">
        <v>120000</v>
      </c>
      <c r="K16" s="28">
        <f t="shared" si="2"/>
        <v>1604400000</v>
      </c>
      <c r="L16" s="27"/>
      <c r="M16" s="28">
        <v>120000</v>
      </c>
      <c r="N16" s="28">
        <f t="shared" si="3"/>
        <v>0</v>
      </c>
      <c r="O16" s="29">
        <f t="shared" si="1"/>
        <v>0</v>
      </c>
    </row>
    <row r="17" spans="2:15" ht="15.75">
      <c r="B17" s="22"/>
      <c r="C17" s="23"/>
      <c r="D17" s="24" t="s">
        <v>16</v>
      </c>
      <c r="E17" s="25" t="s">
        <v>17</v>
      </c>
      <c r="F17" s="24"/>
      <c r="G17" s="24"/>
      <c r="H17" s="26"/>
      <c r="I17" s="27">
        <v>662649</v>
      </c>
      <c r="J17" s="28">
        <v>100000</v>
      </c>
      <c r="K17" s="28">
        <f t="shared" si="2"/>
        <v>66264900000</v>
      </c>
      <c r="L17" s="27"/>
      <c r="M17" s="28">
        <v>100000</v>
      </c>
      <c r="N17" s="28">
        <f t="shared" si="3"/>
        <v>0</v>
      </c>
      <c r="O17" s="29">
        <f t="shared" si="1"/>
        <v>0</v>
      </c>
    </row>
    <row r="18" spans="2:15" ht="15.75">
      <c r="B18" s="22"/>
      <c r="C18" s="23"/>
      <c r="D18" s="24" t="s">
        <v>18</v>
      </c>
      <c r="E18" s="25" t="s">
        <v>19</v>
      </c>
      <c r="F18" s="24"/>
      <c r="G18" s="24"/>
      <c r="H18" s="26"/>
      <c r="I18" s="27">
        <v>299</v>
      </c>
      <c r="J18" s="28">
        <v>100000</v>
      </c>
      <c r="K18" s="28">
        <f t="shared" si="2"/>
        <v>29900000</v>
      </c>
      <c r="L18" s="27"/>
      <c r="M18" s="28">
        <v>100000</v>
      </c>
      <c r="N18" s="28">
        <f t="shared" si="3"/>
        <v>0</v>
      </c>
      <c r="O18" s="29">
        <f t="shared" si="1"/>
        <v>0</v>
      </c>
    </row>
    <row r="19" spans="2:15" ht="15.75">
      <c r="B19" s="22"/>
      <c r="C19" s="23"/>
      <c r="D19" s="24" t="s">
        <v>20</v>
      </c>
      <c r="E19" s="25" t="s">
        <v>21</v>
      </c>
      <c r="F19" s="24"/>
      <c r="G19" s="24"/>
      <c r="H19" s="26"/>
      <c r="I19" s="27">
        <v>267</v>
      </c>
      <c r="J19" s="28">
        <v>100000</v>
      </c>
      <c r="K19" s="28">
        <f t="shared" si="2"/>
        <v>26700000</v>
      </c>
      <c r="L19" s="27"/>
      <c r="M19" s="28">
        <v>100000</v>
      </c>
      <c r="N19" s="28">
        <f t="shared" si="3"/>
        <v>0</v>
      </c>
      <c r="O19" s="29">
        <f t="shared" si="1"/>
        <v>0</v>
      </c>
    </row>
    <row r="20" spans="2:15" ht="15.75">
      <c r="B20" s="22"/>
      <c r="C20" s="23"/>
      <c r="D20" s="24" t="s">
        <v>22</v>
      </c>
      <c r="E20" s="25" t="s">
        <v>23</v>
      </c>
      <c r="F20" s="24"/>
      <c r="G20" s="24"/>
      <c r="H20" s="26"/>
      <c r="I20" s="27">
        <v>1925</v>
      </c>
      <c r="J20" s="28">
        <v>50000</v>
      </c>
      <c r="K20" s="28">
        <f t="shared" si="2"/>
        <v>96250000</v>
      </c>
      <c r="L20" s="27"/>
      <c r="M20" s="28">
        <v>50000</v>
      </c>
      <c r="N20" s="28">
        <f t="shared" si="3"/>
        <v>0</v>
      </c>
      <c r="O20" s="29">
        <f t="shared" si="1"/>
        <v>0</v>
      </c>
    </row>
    <row r="21" spans="2:15" ht="15.75">
      <c r="B21" s="22"/>
      <c r="C21" s="23"/>
      <c r="D21" s="24" t="s">
        <v>24</v>
      </c>
      <c r="E21" s="25" t="s">
        <v>25</v>
      </c>
      <c r="F21" s="24"/>
      <c r="G21" s="24"/>
      <c r="H21" s="26"/>
      <c r="I21" s="27">
        <v>36</v>
      </c>
      <c r="J21" s="28">
        <v>50000</v>
      </c>
      <c r="K21" s="28">
        <f t="shared" si="2"/>
        <v>1800000</v>
      </c>
      <c r="L21" s="27"/>
      <c r="M21" s="28">
        <v>50000</v>
      </c>
      <c r="N21" s="28">
        <f t="shared" si="3"/>
        <v>0</v>
      </c>
      <c r="O21" s="29">
        <f t="shared" si="1"/>
        <v>0</v>
      </c>
    </row>
    <row r="22" spans="2:15" ht="15.75">
      <c r="B22" s="22"/>
      <c r="C22" s="23"/>
      <c r="D22" s="24" t="s">
        <v>26</v>
      </c>
      <c r="E22" s="25" t="s">
        <v>27</v>
      </c>
      <c r="F22" s="24"/>
      <c r="G22" s="24"/>
      <c r="H22" s="26"/>
      <c r="I22" s="27">
        <v>0</v>
      </c>
      <c r="J22" s="28">
        <v>250000</v>
      </c>
      <c r="K22" s="28">
        <f t="shared" si="2"/>
        <v>0</v>
      </c>
      <c r="L22" s="27"/>
      <c r="M22" s="28">
        <v>250000</v>
      </c>
      <c r="N22" s="28">
        <f t="shared" si="3"/>
        <v>0</v>
      </c>
      <c r="O22" s="29" t="e">
        <f t="shared" si="1"/>
        <v>#DIV/0!</v>
      </c>
    </row>
    <row r="23" spans="2:15" ht="15.75">
      <c r="B23" s="22"/>
      <c r="C23" s="23"/>
      <c r="D23" s="24"/>
      <c r="E23" s="25"/>
      <c r="F23" s="24"/>
      <c r="G23" s="24"/>
      <c r="H23" s="26"/>
      <c r="I23" s="30"/>
      <c r="J23" s="28"/>
      <c r="K23" s="28"/>
      <c r="L23" s="30"/>
      <c r="M23" s="28"/>
      <c r="N23" s="28"/>
      <c r="O23" s="29"/>
    </row>
    <row r="24" spans="2:15" ht="15.75">
      <c r="B24" s="31"/>
      <c r="C24" s="32">
        <v>2</v>
      </c>
      <c r="D24" s="33" t="s">
        <v>28</v>
      </c>
      <c r="E24" s="34"/>
      <c r="F24" s="34"/>
      <c r="G24" s="34"/>
      <c r="H24" s="35"/>
      <c r="I24" s="36">
        <v>1997021</v>
      </c>
      <c r="J24" s="37"/>
      <c r="K24" s="38">
        <f t="shared" ref="K24:L24" si="4">SUM(K25:K33)</f>
        <v>153240870000</v>
      </c>
      <c r="L24" s="36">
        <f t="shared" si="4"/>
        <v>0</v>
      </c>
      <c r="M24" s="37"/>
      <c r="N24" s="38">
        <f>SUM(N25:N33)</f>
        <v>0</v>
      </c>
      <c r="O24" s="39">
        <f t="shared" ref="O24:O32" si="5">N24/K24</f>
        <v>0</v>
      </c>
    </row>
    <row r="25" spans="2:15" ht="15.75">
      <c r="B25" s="22"/>
      <c r="C25" s="23"/>
      <c r="D25" s="24" t="s">
        <v>10</v>
      </c>
      <c r="E25" s="25" t="s">
        <v>11</v>
      </c>
      <c r="F25" s="24"/>
      <c r="G25" s="24"/>
      <c r="H25" s="26"/>
      <c r="I25" s="27">
        <v>596792</v>
      </c>
      <c r="J25" s="28">
        <v>80000</v>
      </c>
      <c r="K25" s="28">
        <f t="shared" ref="K25:K33" si="6">I25*J25</f>
        <v>47743360000</v>
      </c>
      <c r="L25" s="27"/>
      <c r="M25" s="28">
        <v>80000</v>
      </c>
      <c r="N25" s="28">
        <f t="shared" ref="N25:N33" si="7">L25*M25</f>
        <v>0</v>
      </c>
      <c r="O25" s="29">
        <f t="shared" si="5"/>
        <v>0</v>
      </c>
    </row>
    <row r="26" spans="2:15" ht="15.75">
      <c r="B26" s="22"/>
      <c r="C26" s="23"/>
      <c r="D26" s="24" t="s">
        <v>12</v>
      </c>
      <c r="E26" s="25" t="s">
        <v>13</v>
      </c>
      <c r="F26" s="24"/>
      <c r="G26" s="24"/>
      <c r="H26" s="26"/>
      <c r="I26" s="27">
        <v>63576</v>
      </c>
      <c r="J26" s="28">
        <v>80000</v>
      </c>
      <c r="K26" s="28">
        <f t="shared" si="6"/>
        <v>5086080000</v>
      </c>
      <c r="L26" s="27"/>
      <c r="M26" s="28">
        <v>80000</v>
      </c>
      <c r="N26" s="28">
        <f t="shared" si="7"/>
        <v>0</v>
      </c>
      <c r="O26" s="29">
        <f t="shared" si="5"/>
        <v>0</v>
      </c>
    </row>
    <row r="27" spans="2:15" ht="15.75">
      <c r="B27" s="22"/>
      <c r="C27" s="23"/>
      <c r="D27" s="24" t="s">
        <v>14</v>
      </c>
      <c r="E27" s="25" t="s">
        <v>15</v>
      </c>
      <c r="F27" s="24"/>
      <c r="G27" s="24"/>
      <c r="H27" s="26"/>
      <c r="I27" s="27">
        <v>35983</v>
      </c>
      <c r="J27" s="28">
        <v>80000</v>
      </c>
      <c r="K27" s="28">
        <f t="shared" si="6"/>
        <v>2878640000</v>
      </c>
      <c r="L27" s="27"/>
      <c r="M27" s="28">
        <v>80000</v>
      </c>
      <c r="N27" s="28">
        <f t="shared" si="7"/>
        <v>0</v>
      </c>
      <c r="O27" s="29">
        <f t="shared" si="5"/>
        <v>0</v>
      </c>
    </row>
    <row r="28" spans="2:15" ht="15.75">
      <c r="B28" s="22"/>
      <c r="C28" s="23"/>
      <c r="D28" s="24" t="s">
        <v>16</v>
      </c>
      <c r="E28" s="25" t="s">
        <v>17</v>
      </c>
      <c r="F28" s="24"/>
      <c r="G28" s="24"/>
      <c r="H28" s="26"/>
      <c r="I28" s="27">
        <v>1296381</v>
      </c>
      <c r="J28" s="28">
        <v>75000</v>
      </c>
      <c r="K28" s="28">
        <f t="shared" si="6"/>
        <v>97228575000</v>
      </c>
      <c r="L28" s="27"/>
      <c r="M28" s="28">
        <v>75000</v>
      </c>
      <c r="N28" s="28">
        <f t="shared" si="7"/>
        <v>0</v>
      </c>
      <c r="O28" s="29">
        <f t="shared" si="5"/>
        <v>0</v>
      </c>
    </row>
    <row r="29" spans="2:15" ht="15.75">
      <c r="B29" s="22"/>
      <c r="C29" s="23"/>
      <c r="D29" s="24" t="s">
        <v>18</v>
      </c>
      <c r="E29" s="25" t="s">
        <v>19</v>
      </c>
      <c r="F29" s="24"/>
      <c r="G29" s="24"/>
      <c r="H29" s="26"/>
      <c r="I29" s="27">
        <v>3815</v>
      </c>
      <c r="J29" s="28">
        <v>75000</v>
      </c>
      <c r="K29" s="28">
        <f t="shared" si="6"/>
        <v>286125000</v>
      </c>
      <c r="L29" s="27"/>
      <c r="M29" s="28">
        <v>75000</v>
      </c>
      <c r="N29" s="28">
        <f t="shared" si="7"/>
        <v>0</v>
      </c>
      <c r="O29" s="29">
        <f t="shared" si="5"/>
        <v>0</v>
      </c>
    </row>
    <row r="30" spans="2:15" ht="15.75">
      <c r="B30" s="22"/>
      <c r="C30" s="23"/>
      <c r="D30" s="24" t="s">
        <v>20</v>
      </c>
      <c r="E30" s="25" t="s">
        <v>21</v>
      </c>
      <c r="F30" s="24"/>
      <c r="G30" s="24"/>
      <c r="H30" s="26"/>
      <c r="I30" s="27">
        <v>86</v>
      </c>
      <c r="J30" s="28">
        <v>75000</v>
      </c>
      <c r="K30" s="28">
        <f t="shared" si="6"/>
        <v>6450000</v>
      </c>
      <c r="L30" s="27"/>
      <c r="M30" s="28">
        <v>75000</v>
      </c>
      <c r="N30" s="28">
        <f t="shared" si="7"/>
        <v>0</v>
      </c>
      <c r="O30" s="29">
        <f t="shared" si="5"/>
        <v>0</v>
      </c>
    </row>
    <row r="31" spans="2:15" ht="15.75">
      <c r="B31" s="22"/>
      <c r="C31" s="23"/>
      <c r="D31" s="24" t="s">
        <v>22</v>
      </c>
      <c r="E31" s="25" t="s">
        <v>23</v>
      </c>
      <c r="F31" s="24"/>
      <c r="G31" s="24"/>
      <c r="H31" s="26"/>
      <c r="I31" s="27">
        <v>360</v>
      </c>
      <c r="J31" s="28">
        <v>30000</v>
      </c>
      <c r="K31" s="28">
        <f t="shared" si="6"/>
        <v>10800000</v>
      </c>
      <c r="L31" s="27"/>
      <c r="M31" s="28">
        <v>30000</v>
      </c>
      <c r="N31" s="28">
        <f t="shared" si="7"/>
        <v>0</v>
      </c>
      <c r="O31" s="29">
        <f t="shared" si="5"/>
        <v>0</v>
      </c>
    </row>
    <row r="32" spans="2:15" ht="15.75">
      <c r="B32" s="22"/>
      <c r="C32" s="23"/>
      <c r="D32" s="24" t="s">
        <v>24</v>
      </c>
      <c r="E32" s="25" t="s">
        <v>25</v>
      </c>
      <c r="F32" s="24"/>
      <c r="G32" s="24"/>
      <c r="H32" s="26"/>
      <c r="I32" s="27">
        <v>28</v>
      </c>
      <c r="J32" s="28">
        <v>30000</v>
      </c>
      <c r="K32" s="28">
        <f t="shared" si="6"/>
        <v>840000</v>
      </c>
      <c r="L32" s="27"/>
      <c r="M32" s="28">
        <v>30000</v>
      </c>
      <c r="N32" s="28">
        <f t="shared" si="7"/>
        <v>0</v>
      </c>
      <c r="O32" s="29">
        <f t="shared" si="5"/>
        <v>0</v>
      </c>
    </row>
    <row r="33" spans="2:15" ht="15.75">
      <c r="B33" s="22"/>
      <c r="C33" s="23"/>
      <c r="D33" s="24" t="s">
        <v>26</v>
      </c>
      <c r="E33" s="25" t="s">
        <v>29</v>
      </c>
      <c r="F33" s="24"/>
      <c r="G33" s="24"/>
      <c r="H33" s="26"/>
      <c r="I33" s="27">
        <v>0</v>
      </c>
      <c r="J33" s="28">
        <v>225000</v>
      </c>
      <c r="K33" s="28">
        <f t="shared" si="6"/>
        <v>0</v>
      </c>
      <c r="L33" s="27"/>
      <c r="M33" s="28">
        <v>225000</v>
      </c>
      <c r="N33" s="28">
        <f t="shared" si="7"/>
        <v>0</v>
      </c>
      <c r="O33" s="29"/>
    </row>
    <row r="34" spans="2:15" ht="15.75">
      <c r="B34" s="22"/>
      <c r="C34" s="23"/>
      <c r="D34" s="24"/>
      <c r="E34" s="25"/>
      <c r="F34" s="24"/>
      <c r="G34" s="24"/>
      <c r="H34" s="26"/>
      <c r="I34" s="40"/>
      <c r="J34" s="28"/>
      <c r="K34" s="41"/>
      <c r="L34" s="40"/>
      <c r="M34" s="28"/>
      <c r="N34" s="41"/>
      <c r="O34" s="29"/>
    </row>
    <row r="35" spans="2:15" ht="15.75">
      <c r="B35" s="31"/>
      <c r="C35" s="32">
        <v>3</v>
      </c>
      <c r="D35" s="33" t="s">
        <v>30</v>
      </c>
      <c r="E35" s="42"/>
      <c r="F35" s="42"/>
      <c r="G35" s="42"/>
      <c r="H35" s="43"/>
      <c r="I35" s="36">
        <v>100000</v>
      </c>
      <c r="J35" s="38">
        <v>50000</v>
      </c>
      <c r="K35" s="38">
        <f>I35*J35</f>
        <v>5000000000</v>
      </c>
      <c r="L35" s="36"/>
      <c r="M35" s="38">
        <v>50000</v>
      </c>
      <c r="N35" s="38">
        <f>L35*M35</f>
        <v>0</v>
      </c>
      <c r="O35" s="39">
        <f>N35/K35</f>
        <v>0</v>
      </c>
    </row>
    <row r="36" spans="2:15" ht="15.75">
      <c r="B36" s="22"/>
      <c r="C36" s="44"/>
      <c r="D36" s="45"/>
      <c r="E36" s="24"/>
      <c r="F36" s="24"/>
      <c r="G36" s="24"/>
      <c r="H36" s="26"/>
      <c r="I36" s="46"/>
      <c r="J36" s="28"/>
      <c r="K36" s="41"/>
      <c r="L36" s="46"/>
      <c r="M36" s="28"/>
      <c r="N36" s="41"/>
      <c r="O36" s="29"/>
    </row>
    <row r="37" spans="2:15" ht="15.75">
      <c r="B37" s="31"/>
      <c r="C37" s="32">
        <v>4</v>
      </c>
      <c r="D37" s="33" t="s">
        <v>31</v>
      </c>
      <c r="E37" s="34"/>
      <c r="F37" s="34"/>
      <c r="G37" s="34"/>
      <c r="H37" s="35"/>
      <c r="I37" s="36">
        <v>6000000</v>
      </c>
      <c r="J37" s="37"/>
      <c r="K37" s="38">
        <f>+K38+K41</f>
        <v>727309900000</v>
      </c>
      <c r="L37" s="36">
        <f>L38+L41</f>
        <v>0</v>
      </c>
      <c r="M37" s="37"/>
      <c r="N37" s="38">
        <f>+N38+N41</f>
        <v>0</v>
      </c>
      <c r="O37" s="39">
        <f t="shared" ref="O37:O43" si="8">N37/K37</f>
        <v>0</v>
      </c>
    </row>
    <row r="38" spans="2:15" ht="15.75">
      <c r="B38" s="22"/>
      <c r="C38" s="23"/>
      <c r="D38" s="47" t="s">
        <v>10</v>
      </c>
      <c r="E38" s="45" t="s">
        <v>32</v>
      </c>
      <c r="F38" s="24"/>
      <c r="G38" s="24"/>
      <c r="H38" s="26"/>
      <c r="I38" s="48">
        <v>4726901</v>
      </c>
      <c r="J38" s="49"/>
      <c r="K38" s="50">
        <f t="shared" ref="K38:L38" si="9">SUM(K39:K40)</f>
        <v>472690100000</v>
      </c>
      <c r="L38" s="48">
        <f t="shared" si="9"/>
        <v>0</v>
      </c>
      <c r="M38" s="49"/>
      <c r="N38" s="50">
        <f>SUM(N39:N40)</f>
        <v>0</v>
      </c>
      <c r="O38" s="29">
        <f t="shared" si="8"/>
        <v>0</v>
      </c>
    </row>
    <row r="39" spans="2:15" ht="15.75">
      <c r="B39" s="22"/>
      <c r="C39" s="23"/>
      <c r="D39" s="24"/>
      <c r="E39" s="24" t="s">
        <v>33</v>
      </c>
      <c r="F39" s="25" t="s">
        <v>34</v>
      </c>
      <c r="G39" s="24"/>
      <c r="H39" s="26"/>
      <c r="I39" s="27">
        <v>2267860</v>
      </c>
      <c r="J39" s="28">
        <v>100000</v>
      </c>
      <c r="K39" s="28">
        <f t="shared" ref="K39:K40" si="10">I39*J39</f>
        <v>226786000000</v>
      </c>
      <c r="L39" s="27"/>
      <c r="M39" s="28">
        <v>100000</v>
      </c>
      <c r="N39" s="28">
        <f t="shared" ref="N39:N40" si="11">L39*M39</f>
        <v>0</v>
      </c>
      <c r="O39" s="29">
        <f t="shared" si="8"/>
        <v>0</v>
      </c>
    </row>
    <row r="40" spans="2:15" ht="15.75">
      <c r="B40" s="22"/>
      <c r="C40" s="23"/>
      <c r="D40" s="24"/>
      <c r="E40" s="24" t="s">
        <v>35</v>
      </c>
      <c r="F40" s="25" t="s">
        <v>36</v>
      </c>
      <c r="G40" s="24"/>
      <c r="H40" s="26"/>
      <c r="I40" s="27">
        <v>2459041</v>
      </c>
      <c r="J40" s="28">
        <v>100000</v>
      </c>
      <c r="K40" s="28">
        <f t="shared" si="10"/>
        <v>245904100000</v>
      </c>
      <c r="L40" s="27"/>
      <c r="M40" s="28">
        <v>100000</v>
      </c>
      <c r="N40" s="28">
        <f t="shared" si="11"/>
        <v>0</v>
      </c>
      <c r="O40" s="29">
        <f t="shared" si="8"/>
        <v>0</v>
      </c>
    </row>
    <row r="41" spans="2:15" ht="15.75">
      <c r="B41" s="22"/>
      <c r="C41" s="23"/>
      <c r="D41" s="47" t="s">
        <v>12</v>
      </c>
      <c r="E41" s="45" t="s">
        <v>37</v>
      </c>
      <c r="F41" s="24"/>
      <c r="G41" s="24"/>
      <c r="H41" s="26"/>
      <c r="I41" s="48">
        <v>1273099</v>
      </c>
      <c r="J41" s="49"/>
      <c r="K41" s="50">
        <f t="shared" ref="K41:L41" si="12">SUM(K42:K43)</f>
        <v>254619800000</v>
      </c>
      <c r="L41" s="48">
        <f t="shared" si="12"/>
        <v>0</v>
      </c>
      <c r="M41" s="49"/>
      <c r="N41" s="50">
        <f>SUM(N42:N43)</f>
        <v>0</v>
      </c>
      <c r="O41" s="29">
        <f t="shared" si="8"/>
        <v>0</v>
      </c>
    </row>
    <row r="42" spans="2:15" ht="15.75">
      <c r="B42" s="22"/>
      <c r="C42" s="23"/>
      <c r="D42" s="24"/>
      <c r="E42" s="24" t="s">
        <v>33</v>
      </c>
      <c r="F42" s="25" t="s">
        <v>34</v>
      </c>
      <c r="G42" s="24"/>
      <c r="H42" s="26"/>
      <c r="I42" s="27">
        <v>626781</v>
      </c>
      <c r="J42" s="28">
        <v>200000</v>
      </c>
      <c r="K42" s="28">
        <f t="shared" ref="K42:K43" si="13">I42*J42</f>
        <v>125356200000</v>
      </c>
      <c r="L42" s="27"/>
      <c r="M42" s="28">
        <v>200000</v>
      </c>
      <c r="N42" s="28">
        <f t="shared" ref="N42:N43" si="14">L42*M42</f>
        <v>0</v>
      </c>
      <c r="O42" s="29">
        <f t="shared" si="8"/>
        <v>0</v>
      </c>
    </row>
    <row r="43" spans="2:15" ht="15.75">
      <c r="B43" s="22"/>
      <c r="C43" s="23"/>
      <c r="D43" s="24"/>
      <c r="E43" s="24" t="s">
        <v>35</v>
      </c>
      <c r="F43" s="25" t="s">
        <v>36</v>
      </c>
      <c r="G43" s="24"/>
      <c r="H43" s="26"/>
      <c r="I43" s="27">
        <v>646318</v>
      </c>
      <c r="J43" s="28">
        <v>200000</v>
      </c>
      <c r="K43" s="28">
        <f t="shared" si="13"/>
        <v>129263600000</v>
      </c>
      <c r="L43" s="27"/>
      <c r="M43" s="28">
        <v>200000</v>
      </c>
      <c r="N43" s="28">
        <f t="shared" si="14"/>
        <v>0</v>
      </c>
      <c r="O43" s="29">
        <f t="shared" si="8"/>
        <v>0</v>
      </c>
    </row>
    <row r="44" spans="2:15" ht="15.75">
      <c r="B44" s="51"/>
      <c r="C44" s="52"/>
      <c r="D44" s="53"/>
      <c r="E44" s="53"/>
      <c r="F44" s="54"/>
      <c r="G44" s="53"/>
      <c r="H44" s="55"/>
      <c r="I44" s="56"/>
      <c r="J44" s="57"/>
      <c r="K44" s="58"/>
      <c r="L44" s="56"/>
      <c r="M44" s="57"/>
      <c r="N44" s="58"/>
      <c r="O44" s="59"/>
    </row>
    <row r="45" spans="2:15" ht="15.75">
      <c r="B45" s="60"/>
      <c r="C45" s="61">
        <v>5</v>
      </c>
      <c r="D45" s="62" t="s">
        <v>38</v>
      </c>
      <c r="E45" s="63"/>
      <c r="F45" s="63"/>
      <c r="G45" s="63"/>
      <c r="H45" s="64"/>
      <c r="I45" s="65">
        <v>6000000</v>
      </c>
      <c r="J45" s="66"/>
      <c r="K45" s="65">
        <f>SUM(K46,K47)</f>
        <v>411586320000</v>
      </c>
      <c r="L45" s="65">
        <f>SUM(L46:L47)</f>
        <v>0</v>
      </c>
      <c r="M45" s="66"/>
      <c r="N45" s="65">
        <f>SUM(N46,N47)</f>
        <v>0</v>
      </c>
      <c r="O45" s="67">
        <f t="shared" ref="O45:O47" si="15">N45/K45</f>
        <v>0</v>
      </c>
    </row>
    <row r="46" spans="2:15" ht="15.75">
      <c r="B46" s="22"/>
      <c r="C46" s="23"/>
      <c r="D46" s="24" t="s">
        <v>10</v>
      </c>
      <c r="E46" s="25" t="s">
        <v>39</v>
      </c>
      <c r="F46" s="24"/>
      <c r="G46" s="24"/>
      <c r="H46" s="26"/>
      <c r="I46" s="48">
        <v>4710342</v>
      </c>
      <c r="J46" s="28">
        <v>60000</v>
      </c>
      <c r="K46" s="27">
        <f t="shared" ref="K46:K47" si="16">I46*J46</f>
        <v>282620520000</v>
      </c>
      <c r="L46" s="27"/>
      <c r="M46" s="28">
        <v>60000</v>
      </c>
      <c r="N46" s="28">
        <f t="shared" ref="N46:N47" si="17">L46*M46</f>
        <v>0</v>
      </c>
      <c r="O46" s="29">
        <f t="shared" si="15"/>
        <v>0</v>
      </c>
    </row>
    <row r="47" spans="2:15" ht="15.75">
      <c r="B47" s="22"/>
      <c r="C47" s="23"/>
      <c r="D47" s="24" t="s">
        <v>12</v>
      </c>
      <c r="E47" s="25" t="s">
        <v>40</v>
      </c>
      <c r="F47" s="24"/>
      <c r="G47" s="24"/>
      <c r="H47" s="26"/>
      <c r="I47" s="27">
        <v>1289658</v>
      </c>
      <c r="J47" s="28">
        <v>100000</v>
      </c>
      <c r="K47" s="28">
        <f t="shared" si="16"/>
        <v>128965800000</v>
      </c>
      <c r="L47" s="27"/>
      <c r="M47" s="28">
        <v>100000</v>
      </c>
      <c r="N47" s="28">
        <f t="shared" si="17"/>
        <v>0</v>
      </c>
      <c r="O47" s="29">
        <f t="shared" si="15"/>
        <v>0</v>
      </c>
    </row>
    <row r="48" spans="2:15" ht="15.75">
      <c r="B48" s="22"/>
      <c r="C48" s="23"/>
      <c r="D48" s="24"/>
      <c r="E48" s="25"/>
      <c r="F48" s="24"/>
      <c r="G48" s="24"/>
      <c r="H48" s="26"/>
      <c r="I48" s="27"/>
      <c r="J48" s="28"/>
      <c r="K48" s="28"/>
      <c r="L48" s="27"/>
      <c r="M48" s="28"/>
      <c r="N48" s="28"/>
      <c r="O48" s="29"/>
    </row>
    <row r="49" spans="2:15" ht="15.75">
      <c r="B49" s="31"/>
      <c r="C49" s="32">
        <v>6</v>
      </c>
      <c r="D49" s="33" t="s">
        <v>41</v>
      </c>
      <c r="E49" s="34"/>
      <c r="F49" s="34"/>
      <c r="G49" s="34"/>
      <c r="H49" s="35"/>
      <c r="I49" s="36">
        <v>1500000</v>
      </c>
      <c r="J49" s="37"/>
      <c r="K49" s="38">
        <f t="shared" ref="K49:L49" si="18">SUM(K50:K51)</f>
        <v>43861750000</v>
      </c>
      <c r="L49" s="36">
        <f t="shared" si="18"/>
        <v>0</v>
      </c>
      <c r="M49" s="37"/>
      <c r="N49" s="38">
        <f>SUM(N50:N51)</f>
        <v>0</v>
      </c>
      <c r="O49" s="39">
        <f t="shared" ref="O49:O51" si="19">N49/K49</f>
        <v>0</v>
      </c>
    </row>
    <row r="50" spans="2:15" ht="15.75">
      <c r="B50" s="22"/>
      <c r="C50" s="23"/>
      <c r="D50" s="24" t="s">
        <v>10</v>
      </c>
      <c r="E50" s="25" t="s">
        <v>39</v>
      </c>
      <c r="F50" s="24"/>
      <c r="G50" s="24"/>
      <c r="H50" s="26"/>
      <c r="I50" s="27">
        <v>1245530</v>
      </c>
      <c r="J50" s="28">
        <v>25000</v>
      </c>
      <c r="K50" s="28">
        <f t="shared" ref="K50:K51" si="20">I50*J50</f>
        <v>31138250000</v>
      </c>
      <c r="L50" s="27"/>
      <c r="M50" s="28">
        <v>25000</v>
      </c>
      <c r="N50" s="28">
        <f t="shared" ref="N50:N51" si="21">L50*M50</f>
        <v>0</v>
      </c>
      <c r="O50" s="29">
        <f t="shared" si="19"/>
        <v>0</v>
      </c>
    </row>
    <row r="51" spans="2:15" ht="15.75">
      <c r="B51" s="22"/>
      <c r="C51" s="23"/>
      <c r="D51" s="24" t="s">
        <v>12</v>
      </c>
      <c r="E51" s="25" t="s">
        <v>40</v>
      </c>
      <c r="F51" s="24"/>
      <c r="G51" s="24"/>
      <c r="H51" s="26"/>
      <c r="I51" s="27">
        <v>254470</v>
      </c>
      <c r="J51" s="28">
        <v>50000</v>
      </c>
      <c r="K51" s="28">
        <f t="shared" si="20"/>
        <v>12723500000</v>
      </c>
      <c r="L51" s="27"/>
      <c r="M51" s="28">
        <v>50000</v>
      </c>
      <c r="N51" s="28">
        <f t="shared" si="21"/>
        <v>0</v>
      </c>
      <c r="O51" s="29">
        <f t="shared" si="19"/>
        <v>0</v>
      </c>
    </row>
    <row r="52" spans="2:15" ht="15.75">
      <c r="B52" s="22"/>
      <c r="C52" s="23"/>
      <c r="D52" s="24"/>
      <c r="E52" s="25"/>
      <c r="F52" s="24"/>
      <c r="G52" s="24"/>
      <c r="H52" s="26"/>
      <c r="I52" s="27"/>
      <c r="J52" s="49"/>
      <c r="K52" s="41"/>
      <c r="L52" s="27"/>
      <c r="M52" s="49"/>
      <c r="N52" s="41"/>
      <c r="O52" s="29"/>
    </row>
    <row r="53" spans="2:15" ht="15.75">
      <c r="B53" s="31"/>
      <c r="C53" s="32">
        <v>7</v>
      </c>
      <c r="D53" s="33" t="s">
        <v>42</v>
      </c>
      <c r="E53" s="34"/>
      <c r="F53" s="34"/>
      <c r="G53" s="34"/>
      <c r="H53" s="35"/>
      <c r="I53" s="36">
        <v>75000</v>
      </c>
      <c r="J53" s="37"/>
      <c r="K53" s="38">
        <f t="shared" ref="K53:L53" si="22">SUM(K54:K55)</f>
        <v>5024800000</v>
      </c>
      <c r="L53" s="36">
        <f t="shared" si="22"/>
        <v>0</v>
      </c>
      <c r="M53" s="37"/>
      <c r="N53" s="38">
        <f>SUM(N54:N55)</f>
        <v>0</v>
      </c>
      <c r="O53" s="39">
        <f t="shared" ref="O53:O55" si="23">N53/K53</f>
        <v>0</v>
      </c>
    </row>
    <row r="54" spans="2:15" ht="15.75">
      <c r="B54" s="22"/>
      <c r="C54" s="23"/>
      <c r="D54" s="24" t="s">
        <v>10</v>
      </c>
      <c r="E54" s="25" t="s">
        <v>39</v>
      </c>
      <c r="F54" s="24"/>
      <c r="G54" s="24"/>
      <c r="H54" s="26"/>
      <c r="I54" s="27">
        <v>61880</v>
      </c>
      <c r="J54" s="28">
        <v>60000</v>
      </c>
      <c r="K54" s="28">
        <f t="shared" ref="K54:K55" si="24">I54*J54</f>
        <v>3712800000</v>
      </c>
      <c r="L54" s="27"/>
      <c r="M54" s="28">
        <v>60000</v>
      </c>
      <c r="N54" s="28">
        <f t="shared" ref="N54:N55" si="25">L54*M54</f>
        <v>0</v>
      </c>
      <c r="O54" s="29">
        <f t="shared" si="23"/>
        <v>0</v>
      </c>
    </row>
    <row r="55" spans="2:15" ht="15.75">
      <c r="B55" s="22"/>
      <c r="C55" s="23"/>
      <c r="D55" s="24" t="s">
        <v>12</v>
      </c>
      <c r="E55" s="25" t="s">
        <v>40</v>
      </c>
      <c r="F55" s="24"/>
      <c r="G55" s="24"/>
      <c r="H55" s="26"/>
      <c r="I55" s="27">
        <v>13120</v>
      </c>
      <c r="J55" s="28">
        <v>100000</v>
      </c>
      <c r="K55" s="28">
        <f t="shared" si="24"/>
        <v>1312000000</v>
      </c>
      <c r="L55" s="27"/>
      <c r="M55" s="28">
        <v>100000</v>
      </c>
      <c r="N55" s="28">
        <f t="shared" si="25"/>
        <v>0</v>
      </c>
      <c r="O55" s="29">
        <f t="shared" si="23"/>
        <v>0</v>
      </c>
    </row>
    <row r="56" spans="2:15" ht="15.75">
      <c r="B56" s="22"/>
      <c r="C56" s="23"/>
      <c r="D56" s="24"/>
      <c r="E56" s="25"/>
      <c r="F56" s="24"/>
      <c r="G56" s="24"/>
      <c r="H56" s="26"/>
      <c r="I56" s="27"/>
      <c r="J56" s="49"/>
      <c r="K56" s="41"/>
      <c r="L56" s="27"/>
      <c r="M56" s="49"/>
      <c r="N56" s="41"/>
      <c r="O56" s="29"/>
    </row>
    <row r="57" spans="2:15" ht="15.75">
      <c r="B57" s="31"/>
      <c r="C57" s="32">
        <v>8</v>
      </c>
      <c r="D57" s="33" t="s">
        <v>43</v>
      </c>
      <c r="E57" s="34"/>
      <c r="F57" s="34"/>
      <c r="G57" s="34"/>
      <c r="H57" s="35"/>
      <c r="I57" s="36">
        <v>2400000</v>
      </c>
      <c r="J57" s="37"/>
      <c r="K57" s="38">
        <f t="shared" ref="K57:L57" si="26">+K58+K61</f>
        <v>607771500000</v>
      </c>
      <c r="L57" s="36">
        <f t="shared" si="26"/>
        <v>0</v>
      </c>
      <c r="M57" s="37"/>
      <c r="N57" s="38">
        <f>+N58+N61</f>
        <v>0</v>
      </c>
      <c r="O57" s="39">
        <f t="shared" ref="O57:O63" si="27">N57/K57</f>
        <v>0</v>
      </c>
    </row>
    <row r="58" spans="2:15" ht="15.75">
      <c r="B58" s="22"/>
      <c r="C58" s="23"/>
      <c r="D58" s="47" t="s">
        <v>10</v>
      </c>
      <c r="E58" s="45" t="s">
        <v>32</v>
      </c>
      <c r="F58" s="24"/>
      <c r="G58" s="24"/>
      <c r="H58" s="26"/>
      <c r="I58" s="48">
        <v>1948190</v>
      </c>
      <c r="J58" s="49"/>
      <c r="K58" s="50">
        <f t="shared" ref="K58:L58" si="28">K59+K60</f>
        <v>438342750000</v>
      </c>
      <c r="L58" s="48">
        <f t="shared" si="28"/>
        <v>0</v>
      </c>
      <c r="M58" s="49"/>
      <c r="N58" s="50">
        <f>N59+N60</f>
        <v>0</v>
      </c>
      <c r="O58" s="29">
        <f t="shared" si="27"/>
        <v>0</v>
      </c>
    </row>
    <row r="59" spans="2:15" ht="15.75">
      <c r="B59" s="22"/>
      <c r="C59" s="23"/>
      <c r="D59" s="24"/>
      <c r="E59" s="24" t="s">
        <v>33</v>
      </c>
      <c r="F59" s="25" t="s">
        <v>34</v>
      </c>
      <c r="G59" s="24"/>
      <c r="H59" s="26"/>
      <c r="I59" s="27">
        <v>1619192</v>
      </c>
      <c r="J59" s="28">
        <v>225000</v>
      </c>
      <c r="K59" s="28">
        <f t="shared" ref="K59:K60" si="29">I59*J59</f>
        <v>364318200000</v>
      </c>
      <c r="L59" s="27"/>
      <c r="M59" s="28">
        <v>225000</v>
      </c>
      <c r="N59" s="28">
        <f t="shared" ref="N59:N60" si="30">L59*M59</f>
        <v>0</v>
      </c>
      <c r="O59" s="29">
        <f t="shared" si="27"/>
        <v>0</v>
      </c>
    </row>
    <row r="60" spans="2:15" ht="15.75">
      <c r="B60" s="22"/>
      <c r="C60" s="23"/>
      <c r="D60" s="24"/>
      <c r="E60" s="24" t="s">
        <v>35</v>
      </c>
      <c r="F60" s="25" t="s">
        <v>44</v>
      </c>
      <c r="G60" s="24"/>
      <c r="H60" s="26"/>
      <c r="I60" s="27">
        <v>328998</v>
      </c>
      <c r="J60" s="28">
        <v>225000</v>
      </c>
      <c r="K60" s="28">
        <f t="shared" si="29"/>
        <v>74024550000</v>
      </c>
      <c r="L60" s="27"/>
      <c r="M60" s="28">
        <v>225000</v>
      </c>
      <c r="N60" s="28">
        <f t="shared" si="30"/>
        <v>0</v>
      </c>
      <c r="O60" s="29">
        <f t="shared" si="27"/>
        <v>0</v>
      </c>
    </row>
    <row r="61" spans="2:15" ht="15.75">
      <c r="B61" s="22"/>
      <c r="C61" s="23"/>
      <c r="D61" s="47" t="s">
        <v>12</v>
      </c>
      <c r="E61" s="45" t="s">
        <v>40</v>
      </c>
      <c r="F61" s="24"/>
      <c r="G61" s="24"/>
      <c r="H61" s="26"/>
      <c r="I61" s="48">
        <v>451810</v>
      </c>
      <c r="J61" s="49"/>
      <c r="K61" s="48">
        <f t="shared" ref="K61:L61" si="31">K62+K63</f>
        <v>169428750000</v>
      </c>
      <c r="L61" s="48">
        <f t="shared" si="31"/>
        <v>0</v>
      </c>
      <c r="M61" s="49"/>
      <c r="N61" s="48">
        <f>N62+N63</f>
        <v>0</v>
      </c>
      <c r="O61" s="29">
        <f t="shared" si="27"/>
        <v>0</v>
      </c>
    </row>
    <row r="62" spans="2:15" ht="15.75">
      <c r="B62" s="22"/>
      <c r="C62" s="23"/>
      <c r="D62" s="24"/>
      <c r="E62" s="24" t="s">
        <v>33</v>
      </c>
      <c r="F62" s="25" t="s">
        <v>34</v>
      </c>
      <c r="G62" s="24"/>
      <c r="H62" s="26"/>
      <c r="I62" s="27">
        <v>319858</v>
      </c>
      <c r="J62" s="28">
        <v>375000</v>
      </c>
      <c r="K62" s="28">
        <f t="shared" ref="K62:K63" si="32">I62*J62</f>
        <v>119946750000</v>
      </c>
      <c r="L62" s="27"/>
      <c r="M62" s="28">
        <v>375000</v>
      </c>
      <c r="N62" s="28">
        <f t="shared" ref="N62:N63" si="33">L62*M62</f>
        <v>0</v>
      </c>
      <c r="O62" s="29">
        <f t="shared" si="27"/>
        <v>0</v>
      </c>
    </row>
    <row r="63" spans="2:15" ht="15.75">
      <c r="B63" s="22"/>
      <c r="C63" s="23"/>
      <c r="D63" s="24"/>
      <c r="E63" s="24" t="s">
        <v>35</v>
      </c>
      <c r="F63" s="25" t="s">
        <v>44</v>
      </c>
      <c r="G63" s="24"/>
      <c r="H63" s="26"/>
      <c r="I63" s="27">
        <v>131952</v>
      </c>
      <c r="J63" s="28">
        <v>375000</v>
      </c>
      <c r="K63" s="28">
        <f t="shared" si="32"/>
        <v>49482000000</v>
      </c>
      <c r="L63" s="27"/>
      <c r="M63" s="28">
        <v>375000</v>
      </c>
      <c r="N63" s="28">
        <f t="shared" si="33"/>
        <v>0</v>
      </c>
      <c r="O63" s="29">
        <f t="shared" si="27"/>
        <v>0</v>
      </c>
    </row>
    <row r="64" spans="2:15" ht="15.75">
      <c r="B64" s="22"/>
      <c r="C64" s="23"/>
      <c r="D64" s="24"/>
      <c r="E64" s="24"/>
      <c r="F64" s="25"/>
      <c r="G64" s="24"/>
      <c r="H64" s="26"/>
      <c r="I64" s="27"/>
      <c r="J64" s="49"/>
      <c r="K64" s="41"/>
      <c r="L64" s="27"/>
      <c r="M64" s="49"/>
      <c r="N64" s="41"/>
      <c r="O64" s="29"/>
    </row>
    <row r="65" spans="2:15" ht="15.75">
      <c r="B65" s="31"/>
      <c r="C65" s="32">
        <v>9</v>
      </c>
      <c r="D65" s="33" t="s">
        <v>45</v>
      </c>
      <c r="E65" s="34"/>
      <c r="F65" s="34"/>
      <c r="G65" s="34"/>
      <c r="H65" s="35"/>
      <c r="I65" s="36">
        <v>250000</v>
      </c>
      <c r="J65" s="37"/>
      <c r="K65" s="38">
        <f t="shared" ref="K65:L65" si="34">SUM(K66:K67)</f>
        <v>50337200000</v>
      </c>
      <c r="L65" s="36">
        <f t="shared" si="34"/>
        <v>0</v>
      </c>
      <c r="M65" s="37"/>
      <c r="N65" s="38">
        <f>SUM(N66:N67)</f>
        <v>0</v>
      </c>
      <c r="O65" s="39">
        <f t="shared" ref="O65:O67" si="35">N65/K65</f>
        <v>0</v>
      </c>
    </row>
    <row r="66" spans="2:15" ht="15.75">
      <c r="B66" s="22"/>
      <c r="C66" s="23"/>
      <c r="D66" s="24" t="s">
        <v>10</v>
      </c>
      <c r="E66" s="25" t="s">
        <v>46</v>
      </c>
      <c r="F66" s="24"/>
      <c r="G66" s="24"/>
      <c r="H66" s="26"/>
      <c r="I66" s="27">
        <v>121628</v>
      </c>
      <c r="J66" s="28">
        <v>150000</v>
      </c>
      <c r="K66" s="28">
        <f t="shared" ref="K66:K67" si="36">I66*J66</f>
        <v>18244200000</v>
      </c>
      <c r="L66" s="27"/>
      <c r="M66" s="28">
        <v>150000</v>
      </c>
      <c r="N66" s="28">
        <f t="shared" ref="N66:N67" si="37">L66*M66</f>
        <v>0</v>
      </c>
      <c r="O66" s="29">
        <f t="shared" si="35"/>
        <v>0</v>
      </c>
    </row>
    <row r="67" spans="2:15" ht="15.75">
      <c r="B67" s="22"/>
      <c r="C67" s="23"/>
      <c r="D67" s="24" t="s">
        <v>12</v>
      </c>
      <c r="E67" s="25" t="s">
        <v>40</v>
      </c>
      <c r="F67" s="24"/>
      <c r="G67" s="24"/>
      <c r="H67" s="26"/>
      <c r="I67" s="27">
        <v>128372</v>
      </c>
      <c r="J67" s="28">
        <v>250000</v>
      </c>
      <c r="K67" s="28">
        <f t="shared" si="36"/>
        <v>32093000000</v>
      </c>
      <c r="L67" s="27"/>
      <c r="M67" s="28">
        <v>250000</v>
      </c>
      <c r="N67" s="28">
        <f t="shared" si="37"/>
        <v>0</v>
      </c>
      <c r="O67" s="29">
        <f t="shared" si="35"/>
        <v>0</v>
      </c>
    </row>
    <row r="68" spans="2:15" ht="15.75">
      <c r="B68" s="22"/>
      <c r="C68" s="23"/>
      <c r="D68" s="24"/>
      <c r="E68" s="25"/>
      <c r="F68" s="24"/>
      <c r="G68" s="24"/>
      <c r="H68" s="26"/>
      <c r="I68" s="46"/>
      <c r="J68" s="49"/>
      <c r="K68" s="41"/>
      <c r="L68" s="46"/>
      <c r="M68" s="49"/>
      <c r="N68" s="41"/>
      <c r="O68" s="29"/>
    </row>
    <row r="69" spans="2:15" ht="15.75">
      <c r="B69" s="31"/>
      <c r="C69" s="32">
        <v>10</v>
      </c>
      <c r="D69" s="33" t="s">
        <v>47</v>
      </c>
      <c r="E69" s="34"/>
      <c r="F69" s="34"/>
      <c r="G69" s="34"/>
      <c r="H69" s="35"/>
      <c r="I69" s="36">
        <v>0</v>
      </c>
      <c r="J69" s="37"/>
      <c r="K69" s="38">
        <f t="shared" ref="K69:L69" si="38">+K70+K73</f>
        <v>0</v>
      </c>
      <c r="L69" s="36">
        <f t="shared" si="38"/>
        <v>0</v>
      </c>
      <c r="M69" s="37"/>
      <c r="N69" s="38">
        <f>+N70+N73</f>
        <v>0</v>
      </c>
      <c r="O69" s="39" t="e">
        <f t="shared" ref="O69:O75" si="39">N69/K69</f>
        <v>#DIV/0!</v>
      </c>
    </row>
    <row r="70" spans="2:15" ht="15.75">
      <c r="B70" s="22"/>
      <c r="C70" s="23"/>
      <c r="D70" s="47" t="s">
        <v>10</v>
      </c>
      <c r="E70" s="45" t="s">
        <v>46</v>
      </c>
      <c r="F70" s="24"/>
      <c r="G70" s="24"/>
      <c r="H70" s="26"/>
      <c r="I70" s="48">
        <v>0</v>
      </c>
      <c r="J70" s="49"/>
      <c r="K70" s="50">
        <f t="shared" ref="K70:L70" si="40">SUM(K71:K72)</f>
        <v>0</v>
      </c>
      <c r="L70" s="48">
        <f t="shared" si="40"/>
        <v>0</v>
      </c>
      <c r="M70" s="49"/>
      <c r="N70" s="50">
        <f>SUM(N71:N72)</f>
        <v>0</v>
      </c>
      <c r="O70" s="29" t="e">
        <f t="shared" si="39"/>
        <v>#DIV/0!</v>
      </c>
    </row>
    <row r="71" spans="2:15" ht="15.75">
      <c r="B71" s="22"/>
      <c r="C71" s="23"/>
      <c r="D71" s="24"/>
      <c r="E71" s="24" t="s">
        <v>33</v>
      </c>
      <c r="F71" s="25" t="s">
        <v>34</v>
      </c>
      <c r="G71" s="24"/>
      <c r="H71" s="26"/>
      <c r="I71" s="27">
        <v>0</v>
      </c>
      <c r="J71" s="28">
        <v>100000</v>
      </c>
      <c r="K71" s="28">
        <f t="shared" ref="K71:K72" si="41">I71*J71</f>
        <v>0</v>
      </c>
      <c r="L71" s="27">
        <f>'[1]L. MAT 09 STNKLBN'!G16</f>
        <v>0</v>
      </c>
      <c r="M71" s="28">
        <v>100000</v>
      </c>
      <c r="N71" s="28">
        <f t="shared" ref="N71:N72" si="42">L71*M71</f>
        <v>0</v>
      </c>
      <c r="O71" s="29" t="e">
        <f t="shared" si="39"/>
        <v>#DIV/0!</v>
      </c>
    </row>
    <row r="72" spans="2:15" ht="15.75">
      <c r="B72" s="22"/>
      <c r="C72" s="23"/>
      <c r="D72" s="24"/>
      <c r="E72" s="24" t="s">
        <v>35</v>
      </c>
      <c r="F72" s="25" t="s">
        <v>36</v>
      </c>
      <c r="G72" s="24"/>
      <c r="H72" s="26"/>
      <c r="I72" s="27">
        <v>0</v>
      </c>
      <c r="J72" s="28">
        <v>100000</v>
      </c>
      <c r="K72" s="28">
        <f t="shared" si="41"/>
        <v>0</v>
      </c>
      <c r="L72" s="27">
        <f>'[1]L. MAT 09 STNKLBN'!I16</f>
        <v>0</v>
      </c>
      <c r="M72" s="28">
        <v>100000</v>
      </c>
      <c r="N72" s="28">
        <f t="shared" si="42"/>
        <v>0</v>
      </c>
      <c r="O72" s="29" t="e">
        <f t="shared" si="39"/>
        <v>#DIV/0!</v>
      </c>
    </row>
    <row r="73" spans="2:15" ht="15.75">
      <c r="B73" s="22"/>
      <c r="C73" s="23"/>
      <c r="D73" s="47" t="s">
        <v>12</v>
      </c>
      <c r="E73" s="45" t="s">
        <v>40</v>
      </c>
      <c r="F73" s="24"/>
      <c r="G73" s="24"/>
      <c r="H73" s="26"/>
      <c r="I73" s="48">
        <v>0</v>
      </c>
      <c r="J73" s="49"/>
      <c r="K73" s="50">
        <f t="shared" ref="K73:L73" si="43">SUM(K74:K75)</f>
        <v>0</v>
      </c>
      <c r="L73" s="48">
        <f t="shared" si="43"/>
        <v>0</v>
      </c>
      <c r="M73" s="49"/>
      <c r="N73" s="50">
        <f>SUM(N74:N75)</f>
        <v>0</v>
      </c>
      <c r="O73" s="29" t="e">
        <f t="shared" si="39"/>
        <v>#DIV/0!</v>
      </c>
    </row>
    <row r="74" spans="2:15" ht="15.75">
      <c r="B74" s="22"/>
      <c r="C74" s="23"/>
      <c r="D74" s="24"/>
      <c r="E74" s="24" t="s">
        <v>33</v>
      </c>
      <c r="F74" s="25" t="s">
        <v>34</v>
      </c>
      <c r="G74" s="24"/>
      <c r="H74" s="26"/>
      <c r="I74" s="27">
        <v>0</v>
      </c>
      <c r="J74" s="28">
        <v>200000</v>
      </c>
      <c r="K74" s="28">
        <f t="shared" ref="K74:K75" si="44">I74*J74</f>
        <v>0</v>
      </c>
      <c r="L74" s="27">
        <f>'[1]L. MAT 09 STNKLBN'!H16</f>
        <v>0</v>
      </c>
      <c r="M74" s="28">
        <v>200000</v>
      </c>
      <c r="N74" s="28">
        <f t="shared" ref="N74:N75" si="45">L74*M74</f>
        <v>0</v>
      </c>
      <c r="O74" s="29" t="e">
        <f t="shared" si="39"/>
        <v>#DIV/0!</v>
      </c>
    </row>
    <row r="75" spans="2:15" ht="15.75">
      <c r="B75" s="22"/>
      <c r="C75" s="23"/>
      <c r="D75" s="24"/>
      <c r="E75" s="24" t="s">
        <v>35</v>
      </c>
      <c r="F75" s="25" t="s">
        <v>36</v>
      </c>
      <c r="G75" s="24"/>
      <c r="H75" s="26"/>
      <c r="I75" s="27">
        <v>0</v>
      </c>
      <c r="J75" s="28">
        <v>200000</v>
      </c>
      <c r="K75" s="28">
        <f t="shared" si="44"/>
        <v>0</v>
      </c>
      <c r="L75" s="27">
        <f>'[1]L. MAT 09 STNKLBN'!J16</f>
        <v>0</v>
      </c>
      <c r="M75" s="28">
        <v>200000</v>
      </c>
      <c r="N75" s="28">
        <f t="shared" si="45"/>
        <v>0</v>
      </c>
      <c r="O75" s="29" t="e">
        <f t="shared" si="39"/>
        <v>#DIV/0!</v>
      </c>
    </row>
    <row r="76" spans="2:15" ht="15.75">
      <c r="B76" s="51"/>
      <c r="C76" s="52"/>
      <c r="D76" s="53"/>
      <c r="E76" s="53"/>
      <c r="F76" s="54"/>
      <c r="G76" s="53"/>
      <c r="H76" s="55"/>
      <c r="I76" s="56"/>
      <c r="J76" s="68"/>
      <c r="K76" s="68"/>
      <c r="L76" s="56"/>
      <c r="M76" s="68"/>
      <c r="N76" s="68"/>
      <c r="O76" s="59"/>
    </row>
    <row r="77" spans="2:15" ht="15.75">
      <c r="B77" s="31"/>
      <c r="C77" s="32">
        <v>11</v>
      </c>
      <c r="D77" s="33" t="s">
        <v>48</v>
      </c>
      <c r="E77" s="42"/>
      <c r="F77" s="34"/>
      <c r="G77" s="34"/>
      <c r="H77" s="35"/>
      <c r="I77" s="36">
        <v>0</v>
      </c>
      <c r="J77" s="37"/>
      <c r="K77" s="38">
        <f t="shared" ref="K77:L77" si="46">K78+K81</f>
        <v>0</v>
      </c>
      <c r="L77" s="36">
        <f t="shared" si="46"/>
        <v>0</v>
      </c>
      <c r="M77" s="37"/>
      <c r="N77" s="38">
        <f>N78+N81</f>
        <v>0</v>
      </c>
      <c r="O77" s="39" t="e">
        <f t="shared" ref="O77:O83" si="47">N77/K77</f>
        <v>#DIV/0!</v>
      </c>
    </row>
    <row r="78" spans="2:15" ht="15.75">
      <c r="B78" s="22"/>
      <c r="C78" s="23"/>
      <c r="D78" s="47" t="s">
        <v>10</v>
      </c>
      <c r="E78" s="45" t="s">
        <v>46</v>
      </c>
      <c r="F78" s="24"/>
      <c r="G78" s="24"/>
      <c r="H78" s="26"/>
      <c r="I78" s="48">
        <v>0</v>
      </c>
      <c r="J78" s="49"/>
      <c r="K78" s="50">
        <f t="shared" ref="K78:L78" si="48">SUM(K79:K80)</f>
        <v>0</v>
      </c>
      <c r="L78" s="48">
        <f t="shared" si="48"/>
        <v>0</v>
      </c>
      <c r="M78" s="49"/>
      <c r="N78" s="50">
        <f>SUM(N79:N80)</f>
        <v>0</v>
      </c>
      <c r="O78" s="29" t="e">
        <f t="shared" si="47"/>
        <v>#DIV/0!</v>
      </c>
    </row>
    <row r="79" spans="2:15" ht="15.75">
      <c r="B79" s="22"/>
      <c r="C79" s="23"/>
      <c r="D79" s="24"/>
      <c r="E79" s="24" t="s">
        <v>33</v>
      </c>
      <c r="F79" s="25" t="s">
        <v>34</v>
      </c>
      <c r="G79" s="24"/>
      <c r="H79" s="26"/>
      <c r="I79" s="27">
        <v>0</v>
      </c>
      <c r="J79" s="28">
        <v>100000</v>
      </c>
      <c r="K79" s="28">
        <f t="shared" ref="K79:K80" si="49">I79*J79</f>
        <v>0</v>
      </c>
      <c r="L79" s="27">
        <f>'[1]L. MAT 10 TNKB LBN'!G16</f>
        <v>0</v>
      </c>
      <c r="M79" s="28">
        <v>100000</v>
      </c>
      <c r="N79" s="28">
        <f t="shared" ref="N79:N80" si="50">L79*M79</f>
        <v>0</v>
      </c>
      <c r="O79" s="29" t="e">
        <f t="shared" si="47"/>
        <v>#DIV/0!</v>
      </c>
    </row>
    <row r="80" spans="2:15" ht="15.75">
      <c r="B80" s="22"/>
      <c r="C80" s="23"/>
      <c r="D80" s="24"/>
      <c r="E80" s="24" t="s">
        <v>35</v>
      </c>
      <c r="F80" s="25" t="s">
        <v>36</v>
      </c>
      <c r="G80" s="24"/>
      <c r="H80" s="26"/>
      <c r="I80" s="27"/>
      <c r="J80" s="28">
        <v>100000</v>
      </c>
      <c r="K80" s="28">
        <f t="shared" si="49"/>
        <v>0</v>
      </c>
      <c r="L80" s="27">
        <f>'[1]L. MAT 10 TNKB LBN'!I16</f>
        <v>0</v>
      </c>
      <c r="M80" s="28">
        <v>100000</v>
      </c>
      <c r="N80" s="28">
        <f t="shared" si="50"/>
        <v>0</v>
      </c>
      <c r="O80" s="29" t="e">
        <f t="shared" si="47"/>
        <v>#DIV/0!</v>
      </c>
    </row>
    <row r="81" spans="2:15" ht="15.75">
      <c r="B81" s="22"/>
      <c r="C81" s="23"/>
      <c r="D81" s="47" t="s">
        <v>12</v>
      </c>
      <c r="E81" s="45" t="s">
        <v>40</v>
      </c>
      <c r="F81" s="24"/>
      <c r="G81" s="24"/>
      <c r="H81" s="26"/>
      <c r="I81" s="48">
        <v>0</v>
      </c>
      <c r="J81" s="49"/>
      <c r="K81" s="50">
        <f t="shared" ref="K81:L81" si="51">SUM(K82:K83)</f>
        <v>0</v>
      </c>
      <c r="L81" s="48">
        <f t="shared" si="51"/>
        <v>0</v>
      </c>
      <c r="M81" s="49"/>
      <c r="N81" s="50">
        <f>SUM(N82:N83)</f>
        <v>0</v>
      </c>
      <c r="O81" s="29" t="e">
        <f t="shared" si="47"/>
        <v>#DIV/0!</v>
      </c>
    </row>
    <row r="82" spans="2:15" ht="15.75">
      <c r="B82" s="22"/>
      <c r="C82" s="23"/>
      <c r="D82" s="24"/>
      <c r="E82" s="24" t="s">
        <v>33</v>
      </c>
      <c r="F82" s="25" t="s">
        <v>34</v>
      </c>
      <c r="G82" s="24"/>
      <c r="H82" s="26"/>
      <c r="I82" s="27">
        <v>0</v>
      </c>
      <c r="J82" s="28">
        <v>200000</v>
      </c>
      <c r="K82" s="28">
        <f t="shared" ref="K82:K83" si="52">I82*J82</f>
        <v>0</v>
      </c>
      <c r="L82" s="27">
        <f>'[1]L. MAT 10 TNKB LBN'!H16</f>
        <v>0</v>
      </c>
      <c r="M82" s="28">
        <v>200000</v>
      </c>
      <c r="N82" s="28">
        <f t="shared" ref="N82:N83" si="53">L82*M82</f>
        <v>0</v>
      </c>
      <c r="O82" s="29" t="e">
        <f t="shared" si="47"/>
        <v>#DIV/0!</v>
      </c>
    </row>
    <row r="83" spans="2:15" ht="15.75">
      <c r="B83" s="22"/>
      <c r="C83" s="23"/>
      <c r="D83" s="24"/>
      <c r="E83" s="24" t="s">
        <v>35</v>
      </c>
      <c r="F83" s="25" t="s">
        <v>36</v>
      </c>
      <c r="G83" s="24"/>
      <c r="H83" s="26"/>
      <c r="I83" s="27">
        <v>0</v>
      </c>
      <c r="J83" s="28">
        <v>200000</v>
      </c>
      <c r="K83" s="28">
        <f t="shared" si="52"/>
        <v>0</v>
      </c>
      <c r="L83" s="27">
        <f>'[1]L. MAT 10 TNKB LBN'!J16</f>
        <v>0</v>
      </c>
      <c r="M83" s="28">
        <v>200000</v>
      </c>
      <c r="N83" s="28">
        <f t="shared" si="53"/>
        <v>0</v>
      </c>
      <c r="O83" s="29" t="e">
        <f t="shared" si="47"/>
        <v>#DIV/0!</v>
      </c>
    </row>
    <row r="84" spans="2:15" ht="15.75">
      <c r="B84" s="22"/>
      <c r="C84" s="23"/>
      <c r="D84" s="24"/>
      <c r="E84" s="25"/>
      <c r="F84" s="24"/>
      <c r="G84" s="24"/>
      <c r="H84" s="26"/>
      <c r="I84" s="27"/>
      <c r="J84" s="49"/>
      <c r="K84" s="41"/>
      <c r="L84" s="27"/>
      <c r="M84" s="49"/>
      <c r="N84" s="41"/>
      <c r="O84" s="29"/>
    </row>
    <row r="85" spans="2:15" ht="15.75">
      <c r="B85" s="31"/>
      <c r="C85" s="32">
        <v>12</v>
      </c>
      <c r="D85" s="33" t="s">
        <v>49</v>
      </c>
      <c r="E85" s="42"/>
      <c r="F85" s="42"/>
      <c r="G85" s="42"/>
      <c r="H85" s="35"/>
      <c r="I85" s="36">
        <v>12000</v>
      </c>
      <c r="J85" s="37"/>
      <c r="K85" s="38">
        <f t="shared" ref="K85:L85" si="54">+K86+K89+K92+K95</f>
        <v>99500000000</v>
      </c>
      <c r="L85" s="36">
        <f t="shared" si="54"/>
        <v>0</v>
      </c>
      <c r="M85" s="37"/>
      <c r="N85" s="38">
        <f>+N86+N89+N92+N95</f>
        <v>0</v>
      </c>
      <c r="O85" s="39">
        <f t="shared" ref="O85:O97" si="55">N85/K85</f>
        <v>0</v>
      </c>
    </row>
    <row r="86" spans="2:15" ht="15.75">
      <c r="B86" s="22"/>
      <c r="C86" s="23"/>
      <c r="D86" s="47" t="s">
        <v>10</v>
      </c>
      <c r="E86" s="45" t="s">
        <v>50</v>
      </c>
      <c r="F86" s="24"/>
      <c r="G86" s="24"/>
      <c r="H86" s="26"/>
      <c r="I86" s="48">
        <v>1053</v>
      </c>
      <c r="J86" s="49"/>
      <c r="K86" s="50">
        <f t="shared" ref="K86:L86" si="56">SUM(K87:K88)</f>
        <v>16585000000</v>
      </c>
      <c r="L86" s="48">
        <f t="shared" si="56"/>
        <v>0</v>
      </c>
      <c r="M86" s="49"/>
      <c r="N86" s="50">
        <f>SUM(N87:N88)</f>
        <v>0</v>
      </c>
      <c r="O86" s="29">
        <f t="shared" si="55"/>
        <v>0</v>
      </c>
    </row>
    <row r="87" spans="2:15" ht="15.75">
      <c r="B87" s="22"/>
      <c r="C87" s="23"/>
      <c r="D87" s="24"/>
      <c r="E87" s="24" t="s">
        <v>33</v>
      </c>
      <c r="F87" s="25" t="s">
        <v>51</v>
      </c>
      <c r="G87" s="24"/>
      <c r="H87" s="26"/>
      <c r="I87" s="27">
        <v>158</v>
      </c>
      <c r="J87" s="28">
        <v>20000000</v>
      </c>
      <c r="K87" s="28">
        <f t="shared" ref="K87:K88" si="57">I87*J87</f>
        <v>3160000000</v>
      </c>
      <c r="L87" s="27"/>
      <c r="M87" s="28">
        <v>20000000</v>
      </c>
      <c r="N87" s="28">
        <f t="shared" ref="N87:N88" si="58">L87*M87</f>
        <v>0</v>
      </c>
      <c r="O87" s="29">
        <f t="shared" si="55"/>
        <v>0</v>
      </c>
    </row>
    <row r="88" spans="2:15" ht="15.75">
      <c r="B88" s="22"/>
      <c r="C88" s="23"/>
      <c r="D88" s="24"/>
      <c r="E88" s="24" t="s">
        <v>35</v>
      </c>
      <c r="F88" s="25" t="s">
        <v>52</v>
      </c>
      <c r="G88" s="24"/>
      <c r="H88" s="26"/>
      <c r="I88" s="27">
        <v>895</v>
      </c>
      <c r="J88" s="28">
        <v>15000000</v>
      </c>
      <c r="K88" s="28">
        <f t="shared" si="57"/>
        <v>13425000000</v>
      </c>
      <c r="L88" s="27"/>
      <c r="M88" s="28">
        <v>15000000</v>
      </c>
      <c r="N88" s="28">
        <f t="shared" si="58"/>
        <v>0</v>
      </c>
      <c r="O88" s="29">
        <f t="shared" si="55"/>
        <v>0</v>
      </c>
    </row>
    <row r="89" spans="2:15" ht="15.75">
      <c r="B89" s="22"/>
      <c r="C89" s="23"/>
      <c r="D89" s="47" t="s">
        <v>12</v>
      </c>
      <c r="E89" s="45" t="s">
        <v>53</v>
      </c>
      <c r="F89" s="24"/>
      <c r="G89" s="24"/>
      <c r="H89" s="26"/>
      <c r="I89" s="48">
        <v>2383</v>
      </c>
      <c r="J89" s="49"/>
      <c r="K89" s="50">
        <f t="shared" ref="K89:L89" si="59">SUM(K90:K91)</f>
        <v>25435000000</v>
      </c>
      <c r="L89" s="48">
        <f t="shared" si="59"/>
        <v>0</v>
      </c>
      <c r="M89" s="49"/>
      <c r="N89" s="50">
        <f>SUM(N90:N91)</f>
        <v>0</v>
      </c>
      <c r="O89" s="29">
        <f t="shared" si="55"/>
        <v>0</v>
      </c>
    </row>
    <row r="90" spans="2:15" ht="15.75">
      <c r="B90" s="22"/>
      <c r="C90" s="23"/>
      <c r="D90" s="24"/>
      <c r="E90" s="24" t="s">
        <v>33</v>
      </c>
      <c r="F90" s="25" t="s">
        <v>51</v>
      </c>
      <c r="G90" s="24"/>
      <c r="H90" s="26"/>
      <c r="I90" s="27">
        <v>321</v>
      </c>
      <c r="J90" s="28">
        <v>15000000</v>
      </c>
      <c r="K90" s="28">
        <f t="shared" ref="K90:K91" si="60">I90*J90</f>
        <v>4815000000</v>
      </c>
      <c r="L90" s="27"/>
      <c r="M90" s="28">
        <v>15000000</v>
      </c>
      <c r="N90" s="28">
        <f t="shared" ref="N90:N91" si="61">L90*M90</f>
        <v>0</v>
      </c>
      <c r="O90" s="29">
        <f t="shared" si="55"/>
        <v>0</v>
      </c>
    </row>
    <row r="91" spans="2:15" ht="15">
      <c r="B91" s="69"/>
      <c r="C91" s="70"/>
      <c r="D91" s="25"/>
      <c r="E91" s="24" t="s">
        <v>35</v>
      </c>
      <c r="F91" s="25" t="s">
        <v>52</v>
      </c>
      <c r="G91" s="25"/>
      <c r="H91" s="71"/>
      <c r="I91" s="27">
        <v>2062</v>
      </c>
      <c r="J91" s="28">
        <v>10000000</v>
      </c>
      <c r="K91" s="28">
        <f t="shared" si="60"/>
        <v>20620000000</v>
      </c>
      <c r="L91" s="27"/>
      <c r="M91" s="28">
        <v>10000000</v>
      </c>
      <c r="N91" s="28">
        <f t="shared" si="61"/>
        <v>0</v>
      </c>
      <c r="O91" s="29">
        <f t="shared" si="55"/>
        <v>0</v>
      </c>
    </row>
    <row r="92" spans="2:15" ht="15.75">
      <c r="B92" s="69"/>
      <c r="C92" s="70"/>
      <c r="D92" s="47" t="s">
        <v>14</v>
      </c>
      <c r="E92" s="45" t="s">
        <v>54</v>
      </c>
      <c r="F92" s="25"/>
      <c r="G92" s="25"/>
      <c r="H92" s="71"/>
      <c r="I92" s="48">
        <v>4609</v>
      </c>
      <c r="J92" s="28"/>
      <c r="K92" s="50">
        <f t="shared" ref="K92:L92" si="62">SUM(K93:K94)</f>
        <v>35915000000</v>
      </c>
      <c r="L92" s="48">
        <f t="shared" si="62"/>
        <v>0</v>
      </c>
      <c r="M92" s="28"/>
      <c r="N92" s="50">
        <f>SUM(N93:N94)</f>
        <v>0</v>
      </c>
      <c r="O92" s="29">
        <f t="shared" si="55"/>
        <v>0</v>
      </c>
    </row>
    <row r="93" spans="2:15" ht="15">
      <c r="B93" s="69"/>
      <c r="C93" s="70"/>
      <c r="D93" s="24"/>
      <c r="E93" s="24" t="s">
        <v>33</v>
      </c>
      <c r="F93" s="25" t="s">
        <v>51</v>
      </c>
      <c r="G93" s="25"/>
      <c r="H93" s="71"/>
      <c r="I93" s="27">
        <v>539</v>
      </c>
      <c r="J93" s="28">
        <v>10000000</v>
      </c>
      <c r="K93" s="28">
        <f t="shared" ref="K93:K94" si="63">I93*J93</f>
        <v>5390000000</v>
      </c>
      <c r="L93" s="27"/>
      <c r="M93" s="28">
        <v>10000000</v>
      </c>
      <c r="N93" s="28">
        <f t="shared" ref="N93:N94" si="64">L93*M93</f>
        <v>0</v>
      </c>
      <c r="O93" s="29">
        <f t="shared" si="55"/>
        <v>0</v>
      </c>
    </row>
    <row r="94" spans="2:15" ht="15">
      <c r="B94" s="69"/>
      <c r="C94" s="70"/>
      <c r="D94" s="24"/>
      <c r="E94" s="24" t="s">
        <v>35</v>
      </c>
      <c r="F94" s="25" t="s">
        <v>52</v>
      </c>
      <c r="G94" s="25"/>
      <c r="H94" s="71"/>
      <c r="I94" s="27">
        <v>4070</v>
      </c>
      <c r="J94" s="28">
        <v>7500000</v>
      </c>
      <c r="K94" s="28">
        <f t="shared" si="63"/>
        <v>30525000000</v>
      </c>
      <c r="L94" s="27"/>
      <c r="M94" s="28">
        <v>7500000</v>
      </c>
      <c r="N94" s="28">
        <f t="shared" si="64"/>
        <v>0</v>
      </c>
      <c r="O94" s="29">
        <f t="shared" si="55"/>
        <v>0</v>
      </c>
    </row>
    <row r="95" spans="2:15" ht="15.75">
      <c r="B95" s="69"/>
      <c r="C95" s="70"/>
      <c r="D95" s="47" t="s">
        <v>16</v>
      </c>
      <c r="E95" s="45" t="s">
        <v>55</v>
      </c>
      <c r="F95" s="25"/>
      <c r="G95" s="25"/>
      <c r="H95" s="71"/>
      <c r="I95" s="48">
        <v>3955</v>
      </c>
      <c r="J95" s="28"/>
      <c r="K95" s="50">
        <f t="shared" ref="K95:L95" si="65">SUM(K96:K97)</f>
        <v>21565000000</v>
      </c>
      <c r="L95" s="48">
        <f t="shared" si="65"/>
        <v>0</v>
      </c>
      <c r="M95" s="28"/>
      <c r="N95" s="50">
        <f>SUM(N96:N97)</f>
        <v>0</v>
      </c>
      <c r="O95" s="29">
        <f t="shared" si="55"/>
        <v>0</v>
      </c>
    </row>
    <row r="96" spans="2:15" ht="15">
      <c r="B96" s="69"/>
      <c r="C96" s="70"/>
      <c r="D96" s="25"/>
      <c r="E96" s="24" t="s">
        <v>33</v>
      </c>
      <c r="F96" s="25" t="s">
        <v>51</v>
      </c>
      <c r="G96" s="25"/>
      <c r="H96" s="71"/>
      <c r="I96" s="27">
        <v>716</v>
      </c>
      <c r="J96" s="28">
        <v>7500000</v>
      </c>
      <c r="K96" s="28">
        <f t="shared" ref="K96:K97" si="66">I96*J96</f>
        <v>5370000000</v>
      </c>
      <c r="L96" s="27"/>
      <c r="M96" s="28">
        <v>7500000</v>
      </c>
      <c r="N96" s="28">
        <f t="shared" ref="N96:N97" si="67">L96*M96</f>
        <v>0</v>
      </c>
      <c r="O96" s="29">
        <f t="shared" si="55"/>
        <v>0</v>
      </c>
    </row>
    <row r="97" spans="2:15" ht="15">
      <c r="B97" s="69"/>
      <c r="C97" s="70"/>
      <c r="D97" s="25"/>
      <c r="E97" s="24" t="s">
        <v>35</v>
      </c>
      <c r="F97" s="25" t="s">
        <v>52</v>
      </c>
      <c r="G97" s="25"/>
      <c r="H97" s="71"/>
      <c r="I97" s="27">
        <v>3239</v>
      </c>
      <c r="J97" s="28">
        <v>5000000</v>
      </c>
      <c r="K97" s="28">
        <f t="shared" si="66"/>
        <v>16195000000</v>
      </c>
      <c r="L97" s="27"/>
      <c r="M97" s="28">
        <v>5000000</v>
      </c>
      <c r="N97" s="28">
        <f t="shared" si="67"/>
        <v>0</v>
      </c>
      <c r="O97" s="29">
        <f t="shared" si="55"/>
        <v>0</v>
      </c>
    </row>
    <row r="98" spans="2:15" ht="15">
      <c r="B98" s="72"/>
      <c r="C98" s="73"/>
      <c r="D98" s="74"/>
      <c r="E98" s="74"/>
      <c r="F98" s="74"/>
      <c r="G98" s="74"/>
      <c r="H98" s="75"/>
      <c r="I98" s="76"/>
      <c r="J98" s="77"/>
      <c r="K98" s="78"/>
      <c r="L98" s="76"/>
      <c r="M98" s="77"/>
      <c r="N98" s="78"/>
      <c r="O98" s="79"/>
    </row>
    <row r="99" spans="2:15" ht="15.75">
      <c r="B99" s="80"/>
      <c r="C99" s="105" t="s">
        <v>56</v>
      </c>
      <c r="D99" s="103"/>
      <c r="E99" s="103"/>
      <c r="F99" s="103"/>
      <c r="G99" s="103"/>
      <c r="H99" s="104"/>
      <c r="I99" s="81">
        <f>SUM(I13,I24,I35,I37,I45,I49,I53,I57,I65,I69,I77,I85)</f>
        <v>19337001</v>
      </c>
      <c r="J99" s="81"/>
      <c r="K99" s="81">
        <f>SUM(K13,K24,K35,K37,K45,K49,K53,K57,K65,K69,K77,K85)</f>
        <v>2210588370000</v>
      </c>
      <c r="L99" s="81">
        <f>SUM(L13,L24,L35,L37,L45,L49,L53,L57,L65,L69,L77,L85)</f>
        <v>0</v>
      </c>
      <c r="M99" s="81"/>
      <c r="N99" s="81">
        <f>SUM(N13,N24,N35,N37,N45,N49,N53,N57,N65,N69,N77,N85)</f>
        <v>0</v>
      </c>
      <c r="O99" s="82">
        <f>N99/K99</f>
        <v>0</v>
      </c>
    </row>
    <row r="100" spans="2:15" ht="15.75">
      <c r="B100" s="83"/>
      <c r="C100" s="84"/>
      <c r="D100" s="84"/>
      <c r="E100" s="84"/>
      <c r="F100" s="84"/>
      <c r="G100" s="84"/>
      <c r="H100" s="84"/>
      <c r="I100" s="85"/>
      <c r="J100" s="84"/>
      <c r="K100" s="84"/>
      <c r="L100" s="85"/>
      <c r="M100" s="84"/>
      <c r="N100" s="86"/>
      <c r="O100" s="87"/>
    </row>
    <row r="101" spans="2:15" ht="15.75">
      <c r="B101" s="83"/>
      <c r="C101" s="88"/>
      <c r="D101" s="84"/>
      <c r="E101" s="84"/>
      <c r="F101" s="84"/>
      <c r="G101" s="84"/>
      <c r="H101" s="84"/>
      <c r="I101" s="84"/>
      <c r="J101" s="84"/>
      <c r="K101" s="84"/>
      <c r="L101" s="84"/>
      <c r="M101" s="106"/>
      <c r="N101" s="100"/>
      <c r="O101" s="100"/>
    </row>
    <row r="102" spans="2:15" ht="15.75">
      <c r="B102" s="101"/>
      <c r="C102" s="100"/>
      <c r="D102" s="100"/>
      <c r="E102" s="100"/>
      <c r="F102" s="100"/>
      <c r="G102" s="84"/>
      <c r="H102" s="84"/>
      <c r="I102" s="84"/>
      <c r="J102" s="84"/>
      <c r="K102" s="84"/>
      <c r="L102" s="84"/>
      <c r="M102" s="101"/>
      <c r="N102" s="100"/>
      <c r="O102" s="100"/>
    </row>
    <row r="103" spans="2:15" ht="15.75">
      <c r="B103" s="89"/>
      <c r="C103" s="89"/>
      <c r="D103" s="89"/>
      <c r="E103" s="84"/>
      <c r="F103" s="84"/>
      <c r="G103" s="84"/>
      <c r="H103" s="84"/>
      <c r="I103" s="86"/>
      <c r="J103" s="86"/>
      <c r="K103" s="86"/>
      <c r="L103" s="86"/>
      <c r="M103" s="89"/>
      <c r="N103" s="89"/>
      <c r="O103" s="89"/>
    </row>
    <row r="104" spans="2:15" ht="15.75">
      <c r="B104" s="101"/>
      <c r="C104" s="100"/>
      <c r="D104" s="100"/>
      <c r="E104" s="100"/>
      <c r="F104" s="100"/>
      <c r="G104" s="84"/>
      <c r="H104" s="84"/>
      <c r="I104" s="84"/>
      <c r="J104" s="84"/>
      <c r="K104" s="84"/>
      <c r="L104" s="84"/>
      <c r="M104" s="101"/>
      <c r="N104" s="100"/>
      <c r="O104" s="100"/>
    </row>
    <row r="105" spans="2:15" ht="15.75">
      <c r="B105" s="89"/>
      <c r="C105" s="89"/>
      <c r="D105" s="89"/>
      <c r="E105" s="84"/>
      <c r="F105" s="84"/>
      <c r="G105" s="84"/>
      <c r="H105" s="84"/>
      <c r="I105" s="84"/>
      <c r="J105" s="84"/>
      <c r="K105" s="84"/>
      <c r="L105" s="84"/>
      <c r="M105" s="89"/>
      <c r="N105" s="89"/>
      <c r="O105" s="89"/>
    </row>
    <row r="106" spans="2:15" ht="15.75">
      <c r="B106" s="99"/>
      <c r="C106" s="100"/>
      <c r="D106" s="100"/>
      <c r="E106" s="100"/>
      <c r="F106" s="100"/>
      <c r="G106" s="84"/>
      <c r="H106" s="84"/>
      <c r="I106" s="84"/>
      <c r="J106" s="84"/>
      <c r="K106" s="84"/>
      <c r="L106" s="84"/>
      <c r="M106" s="99"/>
      <c r="N106" s="100"/>
      <c r="O106" s="100"/>
    </row>
    <row r="107" spans="2:15" ht="15.75">
      <c r="B107" s="101"/>
      <c r="C107" s="100"/>
      <c r="D107" s="100"/>
      <c r="E107" s="100"/>
      <c r="F107" s="100"/>
      <c r="G107" s="84"/>
      <c r="H107" s="84"/>
      <c r="I107" s="84"/>
      <c r="J107" s="84"/>
      <c r="K107" s="84"/>
      <c r="L107" s="84"/>
      <c r="M107" s="101"/>
      <c r="N107" s="100"/>
      <c r="O107" s="100"/>
    </row>
  </sheetData>
  <mergeCells count="20">
    <mergeCell ref="B2:G5"/>
    <mergeCell ref="B6:O6"/>
    <mergeCell ref="B7:O7"/>
    <mergeCell ref="B9:H9"/>
    <mergeCell ref="B10:B11"/>
    <mergeCell ref="C10:H11"/>
    <mergeCell ref="I10:K10"/>
    <mergeCell ref="L10:N10"/>
    <mergeCell ref="O10:O11"/>
    <mergeCell ref="B106:F106"/>
    <mergeCell ref="M106:O106"/>
    <mergeCell ref="B107:F107"/>
    <mergeCell ref="M107:O107"/>
    <mergeCell ref="C12:H12"/>
    <mergeCell ref="C99:H99"/>
    <mergeCell ref="M101:O101"/>
    <mergeCell ref="B102:F102"/>
    <mergeCell ref="M102:O102"/>
    <mergeCell ref="B104:F104"/>
    <mergeCell ref="M104:O10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89"/>
  <sheetViews>
    <sheetView view="pageBreakPreview" topLeftCell="I64" zoomScale="82" zoomScaleNormal="100" zoomScaleSheetLayoutView="82" workbookViewId="0">
      <selection activeCell="C112" sqref="C112"/>
    </sheetView>
  </sheetViews>
  <sheetFormatPr defaultRowHeight="14.25"/>
  <cols>
    <col min="2" max="2" width="5.875" customWidth="1"/>
    <col min="3" max="10" width="16.125" customWidth="1"/>
    <col min="11" max="11" width="26.25" customWidth="1"/>
    <col min="12" max="13" width="16.125" customWidth="1"/>
    <col min="14" max="14" width="20.75" customWidth="1"/>
    <col min="15" max="15" width="16.125" customWidth="1"/>
  </cols>
  <sheetData>
    <row r="1" spans="2:15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2:15" ht="15">
      <c r="B2" s="107"/>
      <c r="C2" s="108"/>
      <c r="D2" s="108"/>
      <c r="E2" s="108"/>
      <c r="F2" s="108"/>
      <c r="G2" s="108"/>
      <c r="H2" s="3"/>
      <c r="I2" s="3"/>
      <c r="J2" s="3"/>
      <c r="K2" s="3"/>
      <c r="L2" s="3"/>
      <c r="M2" s="3"/>
      <c r="N2" s="3"/>
      <c r="O2" s="4"/>
    </row>
    <row r="3" spans="2:15" ht="15">
      <c r="B3" s="108"/>
      <c r="C3" s="100"/>
      <c r="D3" s="100"/>
      <c r="E3" s="100"/>
      <c r="F3" s="100"/>
      <c r="G3" s="108"/>
      <c r="H3" s="3"/>
      <c r="I3" s="3"/>
      <c r="J3" s="3"/>
      <c r="K3" s="3"/>
      <c r="L3" s="3"/>
      <c r="M3" s="3"/>
      <c r="N3" s="3"/>
      <c r="O3" s="4"/>
    </row>
    <row r="4" spans="2:15" ht="15.75">
      <c r="B4" s="108"/>
      <c r="C4" s="100"/>
      <c r="D4" s="100"/>
      <c r="E4" s="100"/>
      <c r="F4" s="100"/>
      <c r="G4" s="108"/>
      <c r="H4" s="5"/>
      <c r="I4" s="3"/>
      <c r="J4" s="6"/>
      <c r="K4" s="7"/>
      <c r="L4" s="3"/>
      <c r="M4" s="6"/>
      <c r="N4" s="7"/>
      <c r="O4" s="4"/>
    </row>
    <row r="5" spans="2:15" ht="15.75">
      <c r="B5" s="108"/>
      <c r="C5" s="108"/>
      <c r="D5" s="108"/>
      <c r="E5" s="108"/>
      <c r="F5" s="108"/>
      <c r="G5" s="108"/>
      <c r="H5" s="5"/>
      <c r="I5" s="5"/>
      <c r="J5" s="8"/>
      <c r="K5" s="6"/>
      <c r="L5" s="5"/>
      <c r="M5" s="8"/>
      <c r="N5" s="6"/>
      <c r="O5" s="4"/>
    </row>
    <row r="6" spans="2:15" ht="15.75">
      <c r="B6" s="109" t="s">
        <v>57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</row>
    <row r="7" spans="2:15" ht="15.75">
      <c r="B7" s="110" t="s">
        <v>70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</row>
    <row r="8" spans="2:15" ht="15.7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2:15" ht="15.75">
      <c r="B9" s="111"/>
      <c r="C9" s="108"/>
      <c r="D9" s="108"/>
      <c r="E9" s="108"/>
      <c r="F9" s="108"/>
      <c r="G9" s="108"/>
      <c r="H9" s="108"/>
      <c r="I9" s="11"/>
      <c r="J9" s="9"/>
      <c r="K9" s="11"/>
      <c r="L9" s="11"/>
      <c r="M9" s="9"/>
      <c r="N9" s="11"/>
      <c r="O9" s="4"/>
    </row>
    <row r="10" spans="2:15" ht="15.75">
      <c r="B10" s="112" t="s">
        <v>0</v>
      </c>
      <c r="C10" s="114" t="s">
        <v>1</v>
      </c>
      <c r="D10" s="115"/>
      <c r="E10" s="115"/>
      <c r="F10" s="115"/>
      <c r="G10" s="115"/>
      <c r="H10" s="116"/>
      <c r="I10" s="120" t="s">
        <v>2</v>
      </c>
      <c r="J10" s="103"/>
      <c r="K10" s="104"/>
      <c r="L10" s="120" t="s">
        <v>3</v>
      </c>
      <c r="M10" s="103"/>
      <c r="N10" s="104"/>
      <c r="O10" s="121" t="s">
        <v>4</v>
      </c>
    </row>
    <row r="11" spans="2:15" ht="15.75">
      <c r="B11" s="113"/>
      <c r="C11" s="117"/>
      <c r="D11" s="118"/>
      <c r="E11" s="118"/>
      <c r="F11" s="118"/>
      <c r="G11" s="118"/>
      <c r="H11" s="119"/>
      <c r="I11" s="12" t="s">
        <v>5</v>
      </c>
      <c r="J11" s="12" t="s">
        <v>6</v>
      </c>
      <c r="K11" s="12" t="s">
        <v>7</v>
      </c>
      <c r="L11" s="12" t="s">
        <v>5</v>
      </c>
      <c r="M11" s="12" t="s">
        <v>6</v>
      </c>
      <c r="N11" s="12" t="s">
        <v>8</v>
      </c>
      <c r="O11" s="122"/>
    </row>
    <row r="12" spans="2:15" ht="15.75">
      <c r="B12" s="12">
        <v>1</v>
      </c>
      <c r="C12" s="102">
        <v>2</v>
      </c>
      <c r="D12" s="103"/>
      <c r="E12" s="103"/>
      <c r="F12" s="103"/>
      <c r="G12" s="103"/>
      <c r="H12" s="104"/>
      <c r="I12" s="12">
        <v>3</v>
      </c>
      <c r="J12" s="12">
        <v>4</v>
      </c>
      <c r="K12" s="12">
        <v>5</v>
      </c>
      <c r="L12" s="12">
        <v>3</v>
      </c>
      <c r="M12" s="12">
        <v>4</v>
      </c>
      <c r="N12" s="12">
        <v>5</v>
      </c>
      <c r="O12" s="12">
        <v>6</v>
      </c>
    </row>
    <row r="13" spans="2:15" ht="15.75">
      <c r="B13" s="13"/>
      <c r="C13" s="14">
        <v>1</v>
      </c>
      <c r="D13" s="15" t="s">
        <v>9</v>
      </c>
      <c r="E13" s="16"/>
      <c r="F13" s="16"/>
      <c r="G13" s="16"/>
      <c r="H13" s="17"/>
      <c r="I13" s="18">
        <v>1002980</v>
      </c>
      <c r="J13" s="19"/>
      <c r="K13" s="20">
        <f t="shared" ref="K13" si="0">SUM(K14:K22)</f>
        <v>106956030000</v>
      </c>
      <c r="L13" s="18">
        <f>SUM(L14:L22)</f>
        <v>298257</v>
      </c>
      <c r="M13" s="19"/>
      <c r="N13" s="20">
        <f>SUM(N14:N22)</f>
        <v>32246670000</v>
      </c>
      <c r="O13" s="21">
        <f t="shared" ref="O13:O22" si="1">N13/K13</f>
        <v>0.3014946422375625</v>
      </c>
    </row>
    <row r="14" spans="2:15" ht="15.75">
      <c r="B14" s="22"/>
      <c r="C14" s="23"/>
      <c r="D14" s="24" t="s">
        <v>10</v>
      </c>
      <c r="E14" s="25" t="s">
        <v>11</v>
      </c>
      <c r="F14" s="24"/>
      <c r="G14" s="24"/>
      <c r="H14" s="26"/>
      <c r="I14" s="27">
        <v>294130</v>
      </c>
      <c r="J14" s="28">
        <v>120000</v>
      </c>
      <c r="K14" s="28">
        <f t="shared" ref="K14:K22" si="2">I14*J14</f>
        <v>35295600000</v>
      </c>
      <c r="L14" s="27">
        <f>JANUARI!L14+FEB!L14+MARET!L14+APRIL!L14+MEI!L14+JUNI!L14+JULI!L14+AGUSTUS!L14+SEPT!L14+OKT!L14+NOV!L14+DES!L14</f>
        <v>105307</v>
      </c>
      <c r="M14" s="28">
        <v>120000</v>
      </c>
      <c r="N14" s="28">
        <f t="shared" ref="N14:N22" si="3">L14*M14</f>
        <v>12636840000</v>
      </c>
      <c r="O14" s="29">
        <f t="shared" si="1"/>
        <v>0.35802876279196272</v>
      </c>
    </row>
    <row r="15" spans="2:15" ht="15.75">
      <c r="B15" s="22"/>
      <c r="C15" s="23"/>
      <c r="D15" s="24" t="s">
        <v>12</v>
      </c>
      <c r="E15" s="25" t="s">
        <v>13</v>
      </c>
      <c r="F15" s="24"/>
      <c r="G15" s="24"/>
      <c r="H15" s="26"/>
      <c r="I15" s="27">
        <v>30304</v>
      </c>
      <c r="J15" s="28">
        <v>120000</v>
      </c>
      <c r="K15" s="28">
        <f t="shared" si="2"/>
        <v>3636480000</v>
      </c>
      <c r="L15" s="27">
        <f>JANUARI!L15+FEB!L15+MARET!L15+APRIL!L15+MEI!L15+JUNI!L15+JULI!L15+AGUSTUS!L15+SEPT!L15+OKT!L15+NOV!L15+DES!L15</f>
        <v>11795</v>
      </c>
      <c r="M15" s="28">
        <v>120000</v>
      </c>
      <c r="N15" s="28">
        <f t="shared" si="3"/>
        <v>1415400000</v>
      </c>
      <c r="O15" s="29">
        <f t="shared" si="1"/>
        <v>0.38922254487856389</v>
      </c>
    </row>
    <row r="16" spans="2:15" ht="15.75">
      <c r="B16" s="22"/>
      <c r="C16" s="23"/>
      <c r="D16" s="24" t="s">
        <v>14</v>
      </c>
      <c r="E16" s="25" t="s">
        <v>15</v>
      </c>
      <c r="F16" s="24"/>
      <c r="G16" s="24"/>
      <c r="H16" s="26"/>
      <c r="I16" s="27">
        <v>13370</v>
      </c>
      <c r="J16" s="28">
        <v>120000</v>
      </c>
      <c r="K16" s="28">
        <f t="shared" si="2"/>
        <v>1604400000</v>
      </c>
      <c r="L16" s="27">
        <f>JANUARI!L16+FEB!L16+MARET!L16+APRIL!L16+MEI!L16+JUNI!L16+JULI!L16+AGUSTUS!L16+SEPT!L16+OKT!L16+NOV!L16+DES!L16</f>
        <v>4139</v>
      </c>
      <c r="M16" s="28">
        <v>120000</v>
      </c>
      <c r="N16" s="28">
        <f t="shared" si="3"/>
        <v>496680000</v>
      </c>
      <c r="O16" s="29">
        <f t="shared" si="1"/>
        <v>0.30957367240089756</v>
      </c>
    </row>
    <row r="17" spans="2:15" ht="15.75">
      <c r="B17" s="22"/>
      <c r="C17" s="23"/>
      <c r="D17" s="24" t="s">
        <v>16</v>
      </c>
      <c r="E17" s="25" t="s">
        <v>17</v>
      </c>
      <c r="F17" s="24"/>
      <c r="G17" s="24"/>
      <c r="H17" s="26"/>
      <c r="I17" s="27">
        <v>662649</v>
      </c>
      <c r="J17" s="28">
        <v>100000</v>
      </c>
      <c r="K17" s="28">
        <f t="shared" si="2"/>
        <v>66264900000</v>
      </c>
      <c r="L17" s="27">
        <f>JANUARI!L17+FEB!L17+MARET!L17+APRIL!L17+MEI!L17+JUNI!L17+JULI!L17+AGUSTUS!L17+SEPT!L17+OKT!L17+NOV!L17+DES!L17</f>
        <v>176911</v>
      </c>
      <c r="M17" s="28">
        <v>100000</v>
      </c>
      <c r="N17" s="28">
        <f t="shared" si="3"/>
        <v>17691100000</v>
      </c>
      <c r="O17" s="29">
        <f t="shared" si="1"/>
        <v>0.26697542741330627</v>
      </c>
    </row>
    <row r="18" spans="2:15" ht="15.75">
      <c r="B18" s="22"/>
      <c r="C18" s="23"/>
      <c r="D18" s="24" t="s">
        <v>18</v>
      </c>
      <c r="E18" s="25" t="s">
        <v>19</v>
      </c>
      <c r="F18" s="24"/>
      <c r="G18" s="24"/>
      <c r="H18" s="26"/>
      <c r="I18" s="27">
        <v>299</v>
      </c>
      <c r="J18" s="28">
        <v>100000</v>
      </c>
      <c r="K18" s="28">
        <f t="shared" si="2"/>
        <v>29900000</v>
      </c>
      <c r="L18" s="27">
        <f>JANUARI!L18+FEB!L18+MARET!L18+APRIL!L18+MEI!L18+JUNI!L18+JULI!L18+AGUSTUS!L18+SEPT!L18+OKT!L18+NOV!L18+DES!L18</f>
        <v>28</v>
      </c>
      <c r="M18" s="28">
        <v>100000</v>
      </c>
      <c r="N18" s="28">
        <f t="shared" si="3"/>
        <v>2800000</v>
      </c>
      <c r="O18" s="29">
        <f t="shared" si="1"/>
        <v>9.3645484949832769E-2</v>
      </c>
    </row>
    <row r="19" spans="2:15" ht="15.75">
      <c r="B19" s="22"/>
      <c r="C19" s="23"/>
      <c r="D19" s="24" t="s">
        <v>20</v>
      </c>
      <c r="E19" s="25" t="s">
        <v>21</v>
      </c>
      <c r="F19" s="24"/>
      <c r="G19" s="24"/>
      <c r="H19" s="26"/>
      <c r="I19" s="27">
        <v>267</v>
      </c>
      <c r="J19" s="28">
        <v>100000</v>
      </c>
      <c r="K19" s="28">
        <f t="shared" si="2"/>
        <v>26700000</v>
      </c>
      <c r="L19" s="27">
        <f>JANUARI!L19+FEB!L19+MARET!L19+APRIL!L19+MEI!L19+JUNI!L19+JULI!L19+AGUSTUS!L19+SEPT!L19+OKT!L19+NOV!L19+DES!L19</f>
        <v>0</v>
      </c>
      <c r="M19" s="28">
        <v>100000</v>
      </c>
      <c r="N19" s="28">
        <f t="shared" si="3"/>
        <v>0</v>
      </c>
      <c r="O19" s="29">
        <f t="shared" si="1"/>
        <v>0</v>
      </c>
    </row>
    <row r="20" spans="2:15" ht="15.75">
      <c r="B20" s="22"/>
      <c r="C20" s="23"/>
      <c r="D20" s="24" t="s">
        <v>22</v>
      </c>
      <c r="E20" s="25" t="s">
        <v>23</v>
      </c>
      <c r="F20" s="24"/>
      <c r="G20" s="24"/>
      <c r="H20" s="26"/>
      <c r="I20" s="27">
        <v>1925</v>
      </c>
      <c r="J20" s="28">
        <v>50000</v>
      </c>
      <c r="K20" s="28">
        <f t="shared" si="2"/>
        <v>96250000</v>
      </c>
      <c r="L20" s="27">
        <f>JANUARI!L20+FEB!L20+MARET!L20+APRIL!L20+MEI!L20+JUNI!L20+JULI!L20+AGUSTUS!L20+SEPT!L20+OKT!L20+NOV!L20+DES!L20</f>
        <v>73</v>
      </c>
      <c r="M20" s="28">
        <v>50000</v>
      </c>
      <c r="N20" s="28">
        <f t="shared" si="3"/>
        <v>3650000</v>
      </c>
      <c r="O20" s="29">
        <f t="shared" si="1"/>
        <v>3.7922077922077919E-2</v>
      </c>
    </row>
    <row r="21" spans="2:15" ht="15.75">
      <c r="B21" s="22"/>
      <c r="C21" s="23"/>
      <c r="D21" s="24" t="s">
        <v>24</v>
      </c>
      <c r="E21" s="25" t="s">
        <v>25</v>
      </c>
      <c r="F21" s="24"/>
      <c r="G21" s="24"/>
      <c r="H21" s="26"/>
      <c r="I21" s="27">
        <v>36</v>
      </c>
      <c r="J21" s="28">
        <v>50000</v>
      </c>
      <c r="K21" s="28">
        <f t="shared" si="2"/>
        <v>1800000</v>
      </c>
      <c r="L21" s="27">
        <f>JANUARI!L21+FEB!L21+MARET!L21+APRIL!L21+MEI!L21+JUNI!L21+JULI!L21+AGUSTUS!L21+SEPT!L21+OKT!L21+NOV!L21+DES!L21</f>
        <v>4</v>
      </c>
      <c r="M21" s="28">
        <v>50000</v>
      </c>
      <c r="N21" s="28">
        <f t="shared" si="3"/>
        <v>200000</v>
      </c>
      <c r="O21" s="29">
        <f t="shared" si="1"/>
        <v>0.1111111111111111</v>
      </c>
    </row>
    <row r="22" spans="2:15" ht="15.75">
      <c r="B22" s="22"/>
      <c r="C22" s="23"/>
      <c r="D22" s="24" t="s">
        <v>26</v>
      </c>
      <c r="E22" s="25" t="s">
        <v>27</v>
      </c>
      <c r="F22" s="24"/>
      <c r="G22" s="24"/>
      <c r="H22" s="26"/>
      <c r="I22" s="27">
        <v>0</v>
      </c>
      <c r="J22" s="28">
        <v>250000</v>
      </c>
      <c r="K22" s="28">
        <f t="shared" si="2"/>
        <v>0</v>
      </c>
      <c r="L22" s="27">
        <f>JANUARI!L22+FEB!L22+MARET!L22+APRIL!L22+MEI!L22+JUNI!L22+JULI!L22+AGUSTUS!L22+SEPT!L22+OKT!L22+NOV!L22+DES!L22</f>
        <v>0</v>
      </c>
      <c r="M22" s="28">
        <v>250000</v>
      </c>
      <c r="N22" s="28">
        <f t="shared" si="3"/>
        <v>0</v>
      </c>
      <c r="O22" s="29" t="e">
        <f t="shared" si="1"/>
        <v>#DIV/0!</v>
      </c>
    </row>
    <row r="23" spans="2:15" ht="15.75">
      <c r="B23" s="22"/>
      <c r="C23" s="23"/>
      <c r="D23" s="24"/>
      <c r="E23" s="25"/>
      <c r="F23" s="24"/>
      <c r="G23" s="24"/>
      <c r="H23" s="26"/>
      <c r="I23" s="30"/>
      <c r="J23" s="28"/>
      <c r="K23" s="28"/>
      <c r="L23" s="27"/>
      <c r="M23" s="28"/>
      <c r="N23" s="28"/>
      <c r="O23" s="29"/>
    </row>
    <row r="24" spans="2:15" ht="15.75">
      <c r="B24" s="31"/>
      <c r="C24" s="32">
        <v>2</v>
      </c>
      <c r="D24" s="33" t="s">
        <v>28</v>
      </c>
      <c r="E24" s="34"/>
      <c r="F24" s="34"/>
      <c r="G24" s="34"/>
      <c r="H24" s="35"/>
      <c r="I24" s="36">
        <v>1997021</v>
      </c>
      <c r="J24" s="37"/>
      <c r="K24" s="38">
        <f t="shared" ref="K24" si="4">SUM(K25:K33)</f>
        <v>153240870000</v>
      </c>
      <c r="L24" s="38">
        <f>SUM(L25:L33)</f>
        <v>1010978</v>
      </c>
      <c r="M24" s="37"/>
      <c r="N24" s="38">
        <f>SUM(N25:N33)</f>
        <v>77554795000</v>
      </c>
      <c r="O24" s="39">
        <f t="shared" ref="O24:O32" si="5">N24/K24</f>
        <v>0.50609732899584814</v>
      </c>
    </row>
    <row r="25" spans="2:15" ht="15.75">
      <c r="B25" s="22"/>
      <c r="C25" s="23"/>
      <c r="D25" s="24" t="s">
        <v>10</v>
      </c>
      <c r="E25" s="25" t="s">
        <v>11</v>
      </c>
      <c r="F25" s="24"/>
      <c r="G25" s="24"/>
      <c r="H25" s="26"/>
      <c r="I25" s="27">
        <v>596792</v>
      </c>
      <c r="J25" s="28">
        <v>80000</v>
      </c>
      <c r="K25" s="28">
        <f t="shared" ref="K25:K33" si="6">I25*J25</f>
        <v>47743360000</v>
      </c>
      <c r="L25" s="27">
        <f>JANUARI!L25+FEB!L25+MARET!L25+APRIL!L25+MEI!L25+JUNI!L25+JULI!L25+AGUSTUS!L25+SEPT!L25+OKT!L25+NOV!L25+DES!L25</f>
        <v>310241</v>
      </c>
      <c r="M25" s="28">
        <v>80000</v>
      </c>
      <c r="N25" s="28">
        <f t="shared" ref="N25:N33" si="7">L25*M25</f>
        <v>24819280000</v>
      </c>
      <c r="O25" s="29">
        <f t="shared" si="5"/>
        <v>0.51984778616335336</v>
      </c>
    </row>
    <row r="26" spans="2:15" ht="15.75">
      <c r="B26" s="22"/>
      <c r="C26" s="23"/>
      <c r="D26" s="24" t="s">
        <v>12</v>
      </c>
      <c r="E26" s="25" t="s">
        <v>13</v>
      </c>
      <c r="F26" s="24"/>
      <c r="G26" s="24"/>
      <c r="H26" s="26"/>
      <c r="I26" s="27">
        <v>63576</v>
      </c>
      <c r="J26" s="28">
        <v>80000</v>
      </c>
      <c r="K26" s="28">
        <f t="shared" si="6"/>
        <v>5086080000</v>
      </c>
      <c r="L26" s="27">
        <f>JANUARI!L26+FEB!L26+MARET!L26+APRIL!L26+MEI!L26+JUNI!L26+JULI!L26+AGUSTUS!L26+SEPT!L26+OKT!L26+NOV!L26+DES!L26</f>
        <v>22624</v>
      </c>
      <c r="M26" s="28">
        <v>80000</v>
      </c>
      <c r="N26" s="28">
        <f t="shared" si="7"/>
        <v>1809920000</v>
      </c>
      <c r="O26" s="29">
        <f t="shared" si="5"/>
        <v>0.35585755631055743</v>
      </c>
    </row>
    <row r="27" spans="2:15" ht="15.75">
      <c r="B27" s="22"/>
      <c r="C27" s="23"/>
      <c r="D27" s="24" t="s">
        <v>14</v>
      </c>
      <c r="E27" s="25" t="s">
        <v>15</v>
      </c>
      <c r="F27" s="24"/>
      <c r="G27" s="24"/>
      <c r="H27" s="26"/>
      <c r="I27" s="27">
        <v>35983</v>
      </c>
      <c r="J27" s="28">
        <v>80000</v>
      </c>
      <c r="K27" s="28">
        <f t="shared" si="6"/>
        <v>2878640000</v>
      </c>
      <c r="L27" s="27">
        <f>JANUARI!L27+FEB!L27+MARET!L27+APRIL!L27+MEI!L27+JUNI!L27+JULI!L27+AGUSTUS!L27+SEPT!L27+OKT!L27+NOV!L27+DES!L27</f>
        <v>14333</v>
      </c>
      <c r="M27" s="28">
        <v>80000</v>
      </c>
      <c r="N27" s="28">
        <f t="shared" si="7"/>
        <v>1146640000</v>
      </c>
      <c r="O27" s="29">
        <f t="shared" si="5"/>
        <v>0.39832698774421255</v>
      </c>
    </row>
    <row r="28" spans="2:15" ht="15.75">
      <c r="B28" s="22"/>
      <c r="C28" s="23"/>
      <c r="D28" s="24" t="s">
        <v>16</v>
      </c>
      <c r="E28" s="25" t="s">
        <v>17</v>
      </c>
      <c r="F28" s="24"/>
      <c r="G28" s="24"/>
      <c r="H28" s="26"/>
      <c r="I28" s="27">
        <v>1296381</v>
      </c>
      <c r="J28" s="28">
        <v>75000</v>
      </c>
      <c r="K28" s="28">
        <f t="shared" si="6"/>
        <v>97228575000</v>
      </c>
      <c r="L28" s="27">
        <f>JANUARI!L28+FEB!L28+MARET!L28+APRIL!L28+MEI!L28+JUNI!L28+JULI!L28+AGUSTUS!L28+SEPT!L28+OKT!L28+NOV!L28+DES!L28</f>
        <v>663648</v>
      </c>
      <c r="M28" s="28">
        <v>75000</v>
      </c>
      <c r="N28" s="28">
        <f t="shared" si="7"/>
        <v>49773600000</v>
      </c>
      <c r="O28" s="29">
        <f t="shared" si="5"/>
        <v>0.51192357802220179</v>
      </c>
    </row>
    <row r="29" spans="2:15" ht="15.75">
      <c r="B29" s="22"/>
      <c r="C29" s="23"/>
      <c r="D29" s="24" t="s">
        <v>18</v>
      </c>
      <c r="E29" s="25" t="s">
        <v>19</v>
      </c>
      <c r="F29" s="24"/>
      <c r="G29" s="24"/>
      <c r="H29" s="26"/>
      <c r="I29" s="27">
        <v>3815</v>
      </c>
      <c r="J29" s="28">
        <v>75000</v>
      </c>
      <c r="K29" s="28">
        <f t="shared" si="6"/>
        <v>286125000</v>
      </c>
      <c r="L29" s="27">
        <f>JANUARI!L29+FEB!L29+MARET!L29+APRIL!L29+MEI!L29+JUNI!L29+JULI!L29+AGUSTUS!L29+SEPT!L29+OKT!L29+NOV!L29+DES!L29</f>
        <v>29</v>
      </c>
      <c r="M29" s="28">
        <v>75000</v>
      </c>
      <c r="N29" s="28">
        <f t="shared" si="7"/>
        <v>2175000</v>
      </c>
      <c r="O29" s="29">
        <f t="shared" si="5"/>
        <v>7.6015727391874179E-3</v>
      </c>
    </row>
    <row r="30" spans="2:15" ht="15.75">
      <c r="B30" s="22"/>
      <c r="C30" s="23"/>
      <c r="D30" s="24" t="s">
        <v>20</v>
      </c>
      <c r="E30" s="25" t="s">
        <v>21</v>
      </c>
      <c r="F30" s="24"/>
      <c r="G30" s="24"/>
      <c r="H30" s="26"/>
      <c r="I30" s="27">
        <v>86</v>
      </c>
      <c r="J30" s="28">
        <v>75000</v>
      </c>
      <c r="K30" s="28">
        <f t="shared" si="6"/>
        <v>6450000</v>
      </c>
      <c r="L30" s="27">
        <f>JANUARI!L30+FEB!L30+MARET!L30+APRIL!L30+MEI!L30+JUNI!L30+JULI!L30+AGUSTUS!L30+SEPT!L30+OKT!L30+NOV!L30+DES!L30</f>
        <v>2</v>
      </c>
      <c r="M30" s="28">
        <v>75000</v>
      </c>
      <c r="N30" s="28">
        <f t="shared" si="7"/>
        <v>150000</v>
      </c>
      <c r="O30" s="29">
        <f t="shared" si="5"/>
        <v>2.3255813953488372E-2</v>
      </c>
    </row>
    <row r="31" spans="2:15" ht="15.75">
      <c r="B31" s="22"/>
      <c r="C31" s="23"/>
      <c r="D31" s="24" t="s">
        <v>22</v>
      </c>
      <c r="E31" s="25" t="s">
        <v>23</v>
      </c>
      <c r="F31" s="24"/>
      <c r="G31" s="24"/>
      <c r="H31" s="26"/>
      <c r="I31" s="27">
        <v>360</v>
      </c>
      <c r="J31" s="28">
        <v>30000</v>
      </c>
      <c r="K31" s="28">
        <f t="shared" si="6"/>
        <v>10800000</v>
      </c>
      <c r="L31" s="27">
        <f>JANUARI!L31+FEB!L31+MARET!L31+APRIL!L31+MEI!L31+JUNI!L31+JULI!L31+AGUSTUS!L31+SEPT!L31+OKT!L31+NOV!L31+DES!L31</f>
        <v>100</v>
      </c>
      <c r="M31" s="28">
        <v>30000</v>
      </c>
      <c r="N31" s="28">
        <f t="shared" si="7"/>
        <v>3000000</v>
      </c>
      <c r="O31" s="29">
        <f t="shared" si="5"/>
        <v>0.27777777777777779</v>
      </c>
    </row>
    <row r="32" spans="2:15" ht="15.75">
      <c r="B32" s="22"/>
      <c r="C32" s="23"/>
      <c r="D32" s="24" t="s">
        <v>24</v>
      </c>
      <c r="E32" s="25" t="s">
        <v>25</v>
      </c>
      <c r="F32" s="24"/>
      <c r="G32" s="24"/>
      <c r="H32" s="26"/>
      <c r="I32" s="27">
        <v>28</v>
      </c>
      <c r="J32" s="28">
        <v>30000</v>
      </c>
      <c r="K32" s="28">
        <f t="shared" si="6"/>
        <v>840000</v>
      </c>
      <c r="L32" s="27">
        <f>JANUARI!L32+FEB!L32+MARET!L32+APRIL!L32+MEI!L32+JUNI!L32+JULI!L32+AGUSTUS!L32+SEPT!L32+OKT!L32+NOV!L32+DES!L32</f>
        <v>1</v>
      </c>
      <c r="M32" s="28">
        <v>30000</v>
      </c>
      <c r="N32" s="28">
        <f t="shared" si="7"/>
        <v>30000</v>
      </c>
      <c r="O32" s="29">
        <f t="shared" si="5"/>
        <v>3.5714285714285712E-2</v>
      </c>
    </row>
    <row r="33" spans="2:15" ht="15.75">
      <c r="B33" s="22"/>
      <c r="C33" s="23"/>
      <c r="D33" s="24" t="s">
        <v>26</v>
      </c>
      <c r="E33" s="25" t="s">
        <v>29</v>
      </c>
      <c r="F33" s="24"/>
      <c r="G33" s="24"/>
      <c r="H33" s="26"/>
      <c r="I33" s="27">
        <v>0</v>
      </c>
      <c r="J33" s="28">
        <v>225000</v>
      </c>
      <c r="K33" s="28">
        <f t="shared" si="6"/>
        <v>0</v>
      </c>
      <c r="L33" s="27">
        <f>JANUARI!L33+FEB!L33+MARET!L33+APRIL!L33+MEI!L33+JUNI!L33+JULI!L33+AGUSTUS!L33+SEPT!L33+OKT!L33+NOV!L33+DES!L33</f>
        <v>0</v>
      </c>
      <c r="M33" s="28">
        <v>225000</v>
      </c>
      <c r="N33" s="28">
        <f t="shared" si="7"/>
        <v>0</v>
      </c>
      <c r="O33" s="29"/>
    </row>
    <row r="34" spans="2:15" ht="15.75">
      <c r="B34" s="22"/>
      <c r="C34" s="23"/>
      <c r="D34" s="24"/>
      <c r="E34" s="25"/>
      <c r="F34" s="24"/>
      <c r="G34" s="24"/>
      <c r="H34" s="26"/>
      <c r="I34" s="40"/>
      <c r="J34" s="28"/>
      <c r="K34" s="41"/>
      <c r="L34" s="27"/>
      <c r="M34" s="28"/>
      <c r="N34" s="41"/>
      <c r="O34" s="29"/>
    </row>
    <row r="35" spans="2:15" ht="15.75">
      <c r="B35" s="31"/>
      <c r="C35" s="32">
        <v>3</v>
      </c>
      <c r="D35" s="33" t="s">
        <v>30</v>
      </c>
      <c r="E35" s="42"/>
      <c r="F35" s="42"/>
      <c r="G35" s="42"/>
      <c r="H35" s="43"/>
      <c r="I35" s="36">
        <v>100000</v>
      </c>
      <c r="J35" s="38">
        <v>50000</v>
      </c>
      <c r="K35" s="38">
        <f>I35*J35</f>
        <v>5000000000</v>
      </c>
      <c r="L35" s="90">
        <f>JANUARI!L35+FEB!L35+MARET!L35+APRIL!L35+MEI!L35+JUNI!L35+JULI!L35+AGUSTUS!L35+SEPT!L35+OKT!L35+NOV!L35+DES!L35</f>
        <v>53747</v>
      </c>
      <c r="M35" s="38">
        <v>50000</v>
      </c>
      <c r="N35" s="38">
        <f>L35*M35</f>
        <v>2687350000</v>
      </c>
      <c r="O35" s="39">
        <f>N35/K35</f>
        <v>0.53747</v>
      </c>
    </row>
    <row r="36" spans="2:15" ht="15.75">
      <c r="B36" s="22"/>
      <c r="C36" s="44"/>
      <c r="D36" s="45"/>
      <c r="E36" s="24"/>
      <c r="F36" s="24"/>
      <c r="G36" s="24"/>
      <c r="H36" s="26"/>
      <c r="I36" s="46"/>
      <c r="J36" s="28"/>
      <c r="K36" s="41"/>
      <c r="L36" s="27"/>
      <c r="M36" s="28"/>
      <c r="N36" s="41"/>
      <c r="O36" s="29"/>
    </row>
    <row r="37" spans="2:15" ht="15.75">
      <c r="B37" s="31"/>
      <c r="C37" s="32">
        <v>4</v>
      </c>
      <c r="D37" s="33" t="s">
        <v>31</v>
      </c>
      <c r="E37" s="34"/>
      <c r="F37" s="34"/>
      <c r="G37" s="34"/>
      <c r="H37" s="35"/>
      <c r="I37" s="36">
        <v>6000000</v>
      </c>
      <c r="J37" s="37"/>
      <c r="K37" s="38">
        <f>+K38+K41</f>
        <v>727309900000</v>
      </c>
      <c r="L37" s="38">
        <f>+L38+L41</f>
        <v>2248491</v>
      </c>
      <c r="M37" s="37"/>
      <c r="N37" s="38">
        <f>+N38+N41</f>
        <v>263333900000</v>
      </c>
      <c r="O37" s="39">
        <f t="shared" ref="O37:O43" si="8">N37/K37</f>
        <v>0.36206560642169178</v>
      </c>
    </row>
    <row r="38" spans="2:15" ht="15.75">
      <c r="B38" s="22"/>
      <c r="C38" s="23"/>
      <c r="D38" s="47" t="s">
        <v>10</v>
      </c>
      <c r="E38" s="45" t="s">
        <v>32</v>
      </c>
      <c r="F38" s="24"/>
      <c r="G38" s="24"/>
      <c r="H38" s="26"/>
      <c r="I38" s="48">
        <v>4726901</v>
      </c>
      <c r="J38" s="49"/>
      <c r="K38" s="50">
        <f t="shared" ref="K38:L38" si="9">SUM(K39:K40)</f>
        <v>472690100000</v>
      </c>
      <c r="L38" s="50">
        <f t="shared" si="9"/>
        <v>1863643</v>
      </c>
      <c r="M38" s="49"/>
      <c r="N38" s="50">
        <f>SUM(N39:N40)</f>
        <v>186364300000</v>
      </c>
      <c r="O38" s="29">
        <f t="shared" si="8"/>
        <v>0.39426317581011322</v>
      </c>
    </row>
    <row r="39" spans="2:15" ht="15.75">
      <c r="B39" s="22"/>
      <c r="C39" s="23"/>
      <c r="D39" s="24"/>
      <c r="E39" s="24" t="s">
        <v>33</v>
      </c>
      <c r="F39" s="25" t="s">
        <v>34</v>
      </c>
      <c r="G39" s="24"/>
      <c r="H39" s="26"/>
      <c r="I39" s="27">
        <v>2267860</v>
      </c>
      <c r="J39" s="28">
        <v>100000</v>
      </c>
      <c r="K39" s="28">
        <f t="shared" ref="K39:K40" si="10">I39*J39</f>
        <v>226786000000</v>
      </c>
      <c r="L39" s="27">
        <f>JANUARI!L39+FEB!L39+MARET!L39+APRIL!L39+MEI!L39+JUNI!L39+JULI!L39+AGUSTUS!L39+SEPT!L39+OKT!L39+NOV!L39+DES!L39</f>
        <v>487714</v>
      </c>
      <c r="M39" s="28">
        <v>100000</v>
      </c>
      <c r="N39" s="28">
        <f t="shared" ref="N39:N40" si="11">L39*M39</f>
        <v>48771400000</v>
      </c>
      <c r="O39" s="29">
        <f t="shared" si="8"/>
        <v>0.21505472119090244</v>
      </c>
    </row>
    <row r="40" spans="2:15" ht="15.75">
      <c r="B40" s="22"/>
      <c r="C40" s="23"/>
      <c r="D40" s="24"/>
      <c r="E40" s="24" t="s">
        <v>35</v>
      </c>
      <c r="F40" s="25" t="s">
        <v>36</v>
      </c>
      <c r="G40" s="24"/>
      <c r="H40" s="26"/>
      <c r="I40" s="27">
        <v>2459041</v>
      </c>
      <c r="J40" s="28">
        <v>100000</v>
      </c>
      <c r="K40" s="28">
        <f t="shared" si="10"/>
        <v>245904100000</v>
      </c>
      <c r="L40" s="27">
        <f>JANUARI!L40+FEB!L40+MARET!L40+APRIL!L40+MEI!L40+JUNI!L40+JULI!L40+AGUSTUS!L40+SEPT!L40+OKT!L40+NOV!L40+DES!L40</f>
        <v>1375929</v>
      </c>
      <c r="M40" s="28">
        <v>100000</v>
      </c>
      <c r="N40" s="28">
        <f t="shared" si="11"/>
        <v>137592900000</v>
      </c>
      <c r="O40" s="29">
        <f t="shared" si="8"/>
        <v>0.55953886088113214</v>
      </c>
    </row>
    <row r="41" spans="2:15" ht="15.75">
      <c r="B41" s="22"/>
      <c r="C41" s="23"/>
      <c r="D41" s="47" t="s">
        <v>12</v>
      </c>
      <c r="E41" s="45" t="s">
        <v>37</v>
      </c>
      <c r="F41" s="24"/>
      <c r="G41" s="24"/>
      <c r="H41" s="26"/>
      <c r="I41" s="48">
        <v>1273099</v>
      </c>
      <c r="J41" s="49"/>
      <c r="K41" s="50">
        <f t="shared" ref="K41:L41" si="12">SUM(K42:K43)</f>
        <v>254619800000</v>
      </c>
      <c r="L41" s="50">
        <f t="shared" si="12"/>
        <v>384848</v>
      </c>
      <c r="M41" s="49"/>
      <c r="N41" s="50">
        <f>SUM(N42:N43)</f>
        <v>76969600000</v>
      </c>
      <c r="O41" s="29">
        <f t="shared" si="8"/>
        <v>0.3022922804903625</v>
      </c>
    </row>
    <row r="42" spans="2:15" ht="15.75">
      <c r="B42" s="22"/>
      <c r="C42" s="23"/>
      <c r="D42" s="24"/>
      <c r="E42" s="24" t="s">
        <v>33</v>
      </c>
      <c r="F42" s="25" t="s">
        <v>34</v>
      </c>
      <c r="G42" s="24"/>
      <c r="H42" s="26"/>
      <c r="I42" s="27">
        <v>626781</v>
      </c>
      <c r="J42" s="28">
        <v>200000</v>
      </c>
      <c r="K42" s="28">
        <f t="shared" ref="K42:K43" si="13">I42*J42</f>
        <v>125356200000</v>
      </c>
      <c r="L42" s="27">
        <f>JANUARI!L42+FEB!L42+MARET!L42+APRIL!L42+MEI!L42+JUNI!L42+JULI!L42+AGUSTUS!L42+SEPT!L42+OKT!L42+NOV!L42+DES!L42</f>
        <v>55157</v>
      </c>
      <c r="M42" s="28">
        <v>200000</v>
      </c>
      <c r="N42" s="28">
        <f t="shared" ref="N42:N43" si="14">L42*M42</f>
        <v>11031400000</v>
      </c>
      <c r="O42" s="29">
        <f t="shared" si="8"/>
        <v>8.8000433963377964E-2</v>
      </c>
    </row>
    <row r="43" spans="2:15" ht="15.75">
      <c r="B43" s="22"/>
      <c r="C43" s="23"/>
      <c r="D43" s="24"/>
      <c r="E43" s="24" t="s">
        <v>35</v>
      </c>
      <c r="F43" s="25" t="s">
        <v>36</v>
      </c>
      <c r="G43" s="24"/>
      <c r="H43" s="26"/>
      <c r="I43" s="27">
        <v>646318</v>
      </c>
      <c r="J43" s="28">
        <v>200000</v>
      </c>
      <c r="K43" s="28">
        <f t="shared" si="13"/>
        <v>129263600000</v>
      </c>
      <c r="L43" s="27">
        <f>JANUARI!L43+FEB!L43+MARET!L43+APRIL!L43+MEI!L43+JUNI!L43+JULI!L43+AGUSTUS!L43+SEPT!L43+OKT!L43+NOV!L43+DES!L43</f>
        <v>329691</v>
      </c>
      <c r="M43" s="28">
        <v>200000</v>
      </c>
      <c r="N43" s="28">
        <f t="shared" si="14"/>
        <v>65938200000</v>
      </c>
      <c r="O43" s="29">
        <f t="shared" si="8"/>
        <v>0.51010648009184334</v>
      </c>
    </row>
    <row r="44" spans="2:15" ht="15.75">
      <c r="B44" s="51"/>
      <c r="C44" s="52"/>
      <c r="D44" s="53"/>
      <c r="E44" s="53"/>
      <c r="F44" s="54"/>
      <c r="G44" s="53"/>
      <c r="H44" s="55"/>
      <c r="I44" s="56"/>
      <c r="J44" s="57"/>
      <c r="K44" s="58"/>
      <c r="L44" s="27"/>
      <c r="M44" s="57"/>
      <c r="N44" s="58"/>
      <c r="O44" s="59"/>
    </row>
    <row r="45" spans="2:15" ht="15.75">
      <c r="B45" s="60"/>
      <c r="C45" s="61">
        <v>5</v>
      </c>
      <c r="D45" s="62" t="s">
        <v>38</v>
      </c>
      <c r="E45" s="63"/>
      <c r="F45" s="63"/>
      <c r="G45" s="63"/>
      <c r="H45" s="64"/>
      <c r="I45" s="65">
        <v>6000000</v>
      </c>
      <c r="J45" s="66"/>
      <c r="K45" s="65">
        <f>SUM(K46,K47)</f>
        <v>411586320000</v>
      </c>
      <c r="L45" s="65">
        <f>SUM(L46,L47)</f>
        <v>2202190</v>
      </c>
      <c r="M45" s="66"/>
      <c r="N45" s="65">
        <f>SUM(N46,N47)</f>
        <v>147488800000</v>
      </c>
      <c r="O45" s="67">
        <f t="shared" ref="O45:O47" si="15">N45/K45</f>
        <v>0.35834232780137104</v>
      </c>
    </row>
    <row r="46" spans="2:15" ht="15.75">
      <c r="B46" s="22"/>
      <c r="C46" s="23"/>
      <c r="D46" s="24" t="s">
        <v>10</v>
      </c>
      <c r="E46" s="25" t="s">
        <v>39</v>
      </c>
      <c r="F46" s="24"/>
      <c r="G46" s="24"/>
      <c r="H46" s="26"/>
      <c r="I46" s="48">
        <v>4710342</v>
      </c>
      <c r="J46" s="28">
        <v>60000</v>
      </c>
      <c r="K46" s="27">
        <f t="shared" ref="K46:K47" si="16">I46*J46</f>
        <v>282620520000</v>
      </c>
      <c r="L46" s="27">
        <f>JANUARI!L46+FEB!L46+MARET!L46+APRIL!L46+MEI!L46+JUNI!L46+JULI!L46+AGUSTUS!L46+SEPT!L46+OKT!L46+NOV!L46+DES!L46</f>
        <v>1818255</v>
      </c>
      <c r="M46" s="28">
        <v>60000</v>
      </c>
      <c r="N46" s="28">
        <f t="shared" ref="N46:N47" si="17">L46*M46</f>
        <v>109095300000</v>
      </c>
      <c r="O46" s="29">
        <f t="shared" si="15"/>
        <v>0.38601337227742699</v>
      </c>
    </row>
    <row r="47" spans="2:15" ht="15.75">
      <c r="B47" s="22"/>
      <c r="C47" s="23"/>
      <c r="D47" s="24" t="s">
        <v>12</v>
      </c>
      <c r="E47" s="25" t="s">
        <v>40</v>
      </c>
      <c r="F47" s="24"/>
      <c r="G47" s="24"/>
      <c r="H47" s="26"/>
      <c r="I47" s="27">
        <v>1289658</v>
      </c>
      <c r="J47" s="28">
        <v>100000</v>
      </c>
      <c r="K47" s="28">
        <f t="shared" si="16"/>
        <v>128965800000</v>
      </c>
      <c r="L47" s="27">
        <f>JANUARI!L47+FEB!L47+MARET!L47+APRIL!L47+MEI!L47+JUNI!L47+JULI!L47+AGUSTUS!L47+SEPT!L47+OKT!L47+NOV!L47+DES!L47</f>
        <v>383935</v>
      </c>
      <c r="M47" s="28">
        <v>100000</v>
      </c>
      <c r="N47" s="28">
        <f t="shared" si="17"/>
        <v>38393500000</v>
      </c>
      <c r="O47" s="29">
        <f t="shared" si="15"/>
        <v>0.29770295690795545</v>
      </c>
    </row>
    <row r="48" spans="2:15" ht="15.75">
      <c r="B48" s="22"/>
      <c r="C48" s="23"/>
      <c r="D48" s="24"/>
      <c r="E48" s="25"/>
      <c r="F48" s="24"/>
      <c r="G48" s="24"/>
      <c r="H48" s="26"/>
      <c r="I48" s="27"/>
      <c r="J48" s="28"/>
      <c r="K48" s="28"/>
      <c r="L48" s="27"/>
      <c r="M48" s="28"/>
      <c r="N48" s="28"/>
      <c r="O48" s="29"/>
    </row>
    <row r="49" spans="2:15" ht="15.75">
      <c r="B49" s="31"/>
      <c r="C49" s="32">
        <v>6</v>
      </c>
      <c r="D49" s="33" t="s">
        <v>41</v>
      </c>
      <c r="E49" s="34"/>
      <c r="F49" s="34"/>
      <c r="G49" s="34"/>
      <c r="H49" s="35"/>
      <c r="I49" s="36">
        <v>1500000</v>
      </c>
      <c r="J49" s="37"/>
      <c r="K49" s="38">
        <f t="shared" ref="K49:L49" si="18">SUM(K50:K51)</f>
        <v>43861750000</v>
      </c>
      <c r="L49" s="38">
        <f t="shared" si="18"/>
        <v>546490</v>
      </c>
      <c r="M49" s="37"/>
      <c r="N49" s="38">
        <f>SUM(N50:N51)</f>
        <v>15130650000</v>
      </c>
      <c r="O49" s="39">
        <f t="shared" ref="O49:O51" si="19">N49/K49</f>
        <v>0.34496229630600694</v>
      </c>
    </row>
    <row r="50" spans="2:15" ht="15.75">
      <c r="B50" s="22"/>
      <c r="C50" s="23"/>
      <c r="D50" s="24" t="s">
        <v>10</v>
      </c>
      <c r="E50" s="25" t="s">
        <v>39</v>
      </c>
      <c r="F50" s="24"/>
      <c r="G50" s="24"/>
      <c r="H50" s="26"/>
      <c r="I50" s="27">
        <v>1245530</v>
      </c>
      <c r="J50" s="28">
        <v>25000</v>
      </c>
      <c r="K50" s="28">
        <f t="shared" ref="K50:K51" si="20">I50*J50</f>
        <v>31138250000</v>
      </c>
      <c r="L50" s="27">
        <f>JANUARI!L50+FEB!L50+MARET!L50+APRIL!L50+MEI!L50+JUNI!L50+JULI!L50+AGUSTUS!L50+SEPT!L50+OKT!L50+NOV!L50+DES!L50</f>
        <v>487754</v>
      </c>
      <c r="M50" s="28">
        <v>25000</v>
      </c>
      <c r="N50" s="28">
        <f t="shared" ref="N50:N51" si="21">L50*M50</f>
        <v>12193850000</v>
      </c>
      <c r="O50" s="29">
        <f t="shared" si="19"/>
        <v>0.39160357438199001</v>
      </c>
    </row>
    <row r="51" spans="2:15" ht="15.75">
      <c r="B51" s="22"/>
      <c r="C51" s="23"/>
      <c r="D51" s="24" t="s">
        <v>12</v>
      </c>
      <c r="E51" s="25" t="s">
        <v>40</v>
      </c>
      <c r="F51" s="24"/>
      <c r="G51" s="24"/>
      <c r="H51" s="26"/>
      <c r="I51" s="27">
        <v>254470</v>
      </c>
      <c r="J51" s="28">
        <v>50000</v>
      </c>
      <c r="K51" s="28">
        <f t="shared" si="20"/>
        <v>12723500000</v>
      </c>
      <c r="L51" s="27">
        <f>JANUARI!L51+FEB!L51+MARET!L51+APRIL!L51+MEI!L51+JUNI!L51+JULI!L51+AGUSTUS!L51+SEPT!L51+OKT!L51+NOV!L51+DES!L51</f>
        <v>58736</v>
      </c>
      <c r="M51" s="28">
        <v>50000</v>
      </c>
      <c r="N51" s="28">
        <f t="shared" si="21"/>
        <v>2936800000</v>
      </c>
      <c r="O51" s="29">
        <f t="shared" si="19"/>
        <v>0.23081699217982474</v>
      </c>
    </row>
    <row r="52" spans="2:15" ht="15.75">
      <c r="B52" s="22"/>
      <c r="C52" s="23"/>
      <c r="D52" s="24"/>
      <c r="E52" s="25"/>
      <c r="F52" s="24"/>
      <c r="G52" s="24"/>
      <c r="H52" s="26"/>
      <c r="I52" s="27"/>
      <c r="J52" s="49"/>
      <c r="K52" s="41"/>
      <c r="L52" s="27">
        <f>JANUARI!L44+FEB!L52+MARET!L52+APRIL!L52+MEI!L52+JUNI!L52+JULI!L52+AGUSTUS!L52+SEPT!L52+OKT!L52+NOV!L52+DES!L52</f>
        <v>0</v>
      </c>
      <c r="M52" s="49"/>
      <c r="N52" s="41"/>
      <c r="O52" s="29"/>
    </row>
    <row r="53" spans="2:15" ht="15.75">
      <c r="B53" s="31"/>
      <c r="C53" s="32">
        <v>7</v>
      </c>
      <c r="D53" s="33" t="s">
        <v>42</v>
      </c>
      <c r="E53" s="34"/>
      <c r="F53" s="34"/>
      <c r="G53" s="34"/>
      <c r="H53" s="35"/>
      <c r="I53" s="36">
        <v>75000</v>
      </c>
      <c r="J53" s="37"/>
      <c r="K53" s="38">
        <f t="shared" ref="K53:L53" si="22">SUM(K54:K55)</f>
        <v>5024800000</v>
      </c>
      <c r="L53" s="38">
        <f t="shared" si="22"/>
        <v>44018</v>
      </c>
      <c r="M53" s="37"/>
      <c r="N53" s="38">
        <f>SUM(N54:N55)</f>
        <v>3071880000</v>
      </c>
      <c r="O53" s="39">
        <f t="shared" ref="O53:O55" si="23">N53/K53</f>
        <v>0.61134373507403283</v>
      </c>
    </row>
    <row r="54" spans="2:15" ht="15.75">
      <c r="B54" s="22"/>
      <c r="C54" s="23"/>
      <c r="D54" s="24" t="s">
        <v>10</v>
      </c>
      <c r="E54" s="25" t="s">
        <v>39</v>
      </c>
      <c r="F54" s="24"/>
      <c r="G54" s="24"/>
      <c r="H54" s="26"/>
      <c r="I54" s="27">
        <v>61880</v>
      </c>
      <c r="J54" s="28">
        <v>60000</v>
      </c>
      <c r="K54" s="28">
        <f t="shared" ref="K54:K55" si="24">I54*J54</f>
        <v>3712800000</v>
      </c>
      <c r="L54" s="27">
        <f>JANUARI!L54+FEB!L54+MARET!L54+APRIL!L54+MEI!L54+JUNI!L54+JULI!L54+AGUSTUS!L54+SEPT!L54+OKT!L54+NOV!L54+DES!L54</f>
        <v>33248</v>
      </c>
      <c r="M54" s="28">
        <v>60000</v>
      </c>
      <c r="N54" s="28">
        <f t="shared" ref="N54:N55" si="25">L54*M54</f>
        <v>1994880000</v>
      </c>
      <c r="O54" s="29">
        <f t="shared" si="23"/>
        <v>0.53729799612152551</v>
      </c>
    </row>
    <row r="55" spans="2:15" ht="15.75">
      <c r="B55" s="22"/>
      <c r="C55" s="23"/>
      <c r="D55" s="24" t="s">
        <v>12</v>
      </c>
      <c r="E55" s="25" t="s">
        <v>40</v>
      </c>
      <c r="F55" s="24"/>
      <c r="G55" s="24"/>
      <c r="H55" s="26"/>
      <c r="I55" s="27">
        <v>13120</v>
      </c>
      <c r="J55" s="28">
        <v>100000</v>
      </c>
      <c r="K55" s="28">
        <f t="shared" si="24"/>
        <v>1312000000</v>
      </c>
      <c r="L55" s="27">
        <f>JANUARI!L55+FEB!L55+MARET!L55+APRIL!L55+MEI!L55+JUNI!L55+JULI!L55+AGUSTUS!L55+SEPT!L55+OKT!L55+NOV!L55+DES!L55</f>
        <v>10770</v>
      </c>
      <c r="M55" s="28">
        <v>100000</v>
      </c>
      <c r="N55" s="28">
        <f t="shared" si="25"/>
        <v>1077000000</v>
      </c>
      <c r="O55" s="29">
        <f t="shared" si="23"/>
        <v>0.82088414634146345</v>
      </c>
    </row>
    <row r="56" spans="2:15" ht="15.75">
      <c r="B56" s="22"/>
      <c r="C56" s="23"/>
      <c r="D56" s="24"/>
      <c r="E56" s="25"/>
      <c r="F56" s="24"/>
      <c r="G56" s="24"/>
      <c r="H56" s="26"/>
      <c r="I56" s="27"/>
      <c r="J56" s="49"/>
      <c r="K56" s="41"/>
      <c r="L56" s="27"/>
      <c r="M56" s="49"/>
      <c r="N56" s="41"/>
      <c r="O56" s="29"/>
    </row>
    <row r="57" spans="2:15" ht="15.75">
      <c r="B57" s="31"/>
      <c r="C57" s="32">
        <v>8</v>
      </c>
      <c r="D57" s="33" t="s">
        <v>43</v>
      </c>
      <c r="E57" s="34"/>
      <c r="F57" s="34"/>
      <c r="G57" s="34"/>
      <c r="H57" s="35"/>
      <c r="I57" s="36">
        <v>2400000</v>
      </c>
      <c r="J57" s="37"/>
      <c r="K57" s="38">
        <f t="shared" ref="K57:L57" si="26">+K58+K61</f>
        <v>607771500000</v>
      </c>
      <c r="L57" s="38">
        <f t="shared" si="26"/>
        <v>874179</v>
      </c>
      <c r="M57" s="37"/>
      <c r="N57" s="38">
        <f>+N58+N61</f>
        <v>220344075000</v>
      </c>
      <c r="O57" s="39">
        <f t="shared" ref="O57:O63" si="27">N57/K57</f>
        <v>0.36254427033844133</v>
      </c>
    </row>
    <row r="58" spans="2:15" ht="15.75">
      <c r="B58" s="22"/>
      <c r="C58" s="23"/>
      <c r="D58" s="47" t="s">
        <v>10</v>
      </c>
      <c r="E58" s="45" t="s">
        <v>32</v>
      </c>
      <c r="F58" s="24"/>
      <c r="G58" s="24"/>
      <c r="H58" s="26"/>
      <c r="I58" s="48">
        <v>1948190</v>
      </c>
      <c r="J58" s="49"/>
      <c r="K58" s="50">
        <f t="shared" ref="K58" si="28">K59+K60</f>
        <v>438342750000</v>
      </c>
      <c r="L58" s="50">
        <f>L59+L60</f>
        <v>716487</v>
      </c>
      <c r="M58" s="49"/>
      <c r="N58" s="50">
        <f>N59+N60</f>
        <v>161209575000</v>
      </c>
      <c r="O58" s="29">
        <f t="shared" si="27"/>
        <v>0.36777059732366968</v>
      </c>
    </row>
    <row r="59" spans="2:15" ht="15.75">
      <c r="B59" s="22"/>
      <c r="C59" s="23"/>
      <c r="D59" s="24"/>
      <c r="E59" s="24" t="s">
        <v>33</v>
      </c>
      <c r="F59" s="25" t="s">
        <v>34</v>
      </c>
      <c r="G59" s="24"/>
      <c r="H59" s="26"/>
      <c r="I59" s="27">
        <v>1619192</v>
      </c>
      <c r="J59" s="28">
        <v>225000</v>
      </c>
      <c r="K59" s="28">
        <f t="shared" ref="K59:K60" si="29">I59*J59</f>
        <v>364318200000</v>
      </c>
      <c r="L59" s="27">
        <f>JANUARI!L59+FEB!L59+MARET!L59+APRIL!L59+MEI!L59+JUNI!L59+JULI!L59+AGUSTUS!L59+SEPT!L59+OKT!L59+NOV!L59+DES!L59</f>
        <v>487857</v>
      </c>
      <c r="M59" s="28">
        <v>225000</v>
      </c>
      <c r="N59" s="28">
        <f t="shared" ref="N59:N60" si="30">L59*M59</f>
        <v>109767825000</v>
      </c>
      <c r="O59" s="29">
        <f t="shared" si="27"/>
        <v>0.30129657261152476</v>
      </c>
    </row>
    <row r="60" spans="2:15" ht="15.75">
      <c r="B60" s="22"/>
      <c r="C60" s="23"/>
      <c r="D60" s="24"/>
      <c r="E60" s="24" t="s">
        <v>35</v>
      </c>
      <c r="F60" s="25" t="s">
        <v>44</v>
      </c>
      <c r="G60" s="24"/>
      <c r="H60" s="26"/>
      <c r="I60" s="27">
        <v>328998</v>
      </c>
      <c r="J60" s="28">
        <v>225000</v>
      </c>
      <c r="K60" s="28">
        <f t="shared" si="29"/>
        <v>74024550000</v>
      </c>
      <c r="L60" s="27">
        <f>JANUARI!L60+FEB!L60+MARET!L60+APRIL!L60+MEI!L60+JUNI!L60+JULI!L60+AGUSTUS!L60+SEPT!L60+OKT!L60+NOV!L60+DES!L60</f>
        <v>228630</v>
      </c>
      <c r="M60" s="28">
        <v>225000</v>
      </c>
      <c r="N60" s="28">
        <f t="shared" si="30"/>
        <v>51441750000</v>
      </c>
      <c r="O60" s="29">
        <f t="shared" si="27"/>
        <v>0.69492823664581549</v>
      </c>
    </row>
    <row r="61" spans="2:15" ht="15.75">
      <c r="B61" s="22"/>
      <c r="C61" s="23"/>
      <c r="D61" s="47" t="s">
        <v>12</v>
      </c>
      <c r="E61" s="45" t="s">
        <v>40</v>
      </c>
      <c r="F61" s="24"/>
      <c r="G61" s="24"/>
      <c r="H61" s="26"/>
      <c r="I61" s="48">
        <v>451810</v>
      </c>
      <c r="J61" s="49"/>
      <c r="K61" s="48">
        <f t="shared" ref="K61" si="31">K62+K63</f>
        <v>169428750000</v>
      </c>
      <c r="L61" s="48">
        <f>L62+L63</f>
        <v>157692</v>
      </c>
      <c r="M61" s="49"/>
      <c r="N61" s="48">
        <f>N62+N63</f>
        <v>59134500000</v>
      </c>
      <c r="O61" s="29">
        <f t="shared" si="27"/>
        <v>0.34902281932670814</v>
      </c>
    </row>
    <row r="62" spans="2:15" ht="15.75">
      <c r="B62" s="22"/>
      <c r="C62" s="23"/>
      <c r="D62" s="24"/>
      <c r="E62" s="24" t="s">
        <v>33</v>
      </c>
      <c r="F62" s="25" t="s">
        <v>34</v>
      </c>
      <c r="G62" s="24"/>
      <c r="H62" s="26"/>
      <c r="I62" s="27">
        <v>319858</v>
      </c>
      <c r="J62" s="28">
        <v>375000</v>
      </c>
      <c r="K62" s="28">
        <f t="shared" ref="K62:K63" si="32">I62*J62</f>
        <v>119946750000</v>
      </c>
      <c r="L62" s="27">
        <f>JANUARI!L62+FEB!L62+MARET!L62+APRIL!L62+MEI!L62+JUNI!L62+JULI!L62+AGUSTUS!L62+SEPT!L62+OKT!L62+NOV!L62+DES!L62</f>
        <v>55184</v>
      </c>
      <c r="M62" s="28">
        <v>375000</v>
      </c>
      <c r="N62" s="28">
        <f t="shared" ref="N62:N63" si="33">L62*M62</f>
        <v>20694000000</v>
      </c>
      <c r="O62" s="29">
        <f t="shared" si="27"/>
        <v>0.17252655866040556</v>
      </c>
    </row>
    <row r="63" spans="2:15" ht="15.75">
      <c r="B63" s="22"/>
      <c r="C63" s="23"/>
      <c r="D63" s="24"/>
      <c r="E63" s="24" t="s">
        <v>35</v>
      </c>
      <c r="F63" s="25" t="s">
        <v>44</v>
      </c>
      <c r="G63" s="24"/>
      <c r="H63" s="26"/>
      <c r="I63" s="27">
        <v>131952</v>
      </c>
      <c r="J63" s="28">
        <v>375000</v>
      </c>
      <c r="K63" s="28">
        <f t="shared" si="32"/>
        <v>49482000000</v>
      </c>
      <c r="L63" s="27">
        <f>JANUARI!L63+FEB!L63+MARET!L63+APRIL!L63+MEI!L63+JUNI!L63+JULI!L63+AGUSTUS!L63+SEPT!L63+OKT!L63+NOV!L63+DES!L63</f>
        <v>102508</v>
      </c>
      <c r="M63" s="28">
        <v>375000</v>
      </c>
      <c r="N63" s="28">
        <f t="shared" si="33"/>
        <v>38440500000</v>
      </c>
      <c r="O63" s="29">
        <f t="shared" si="27"/>
        <v>0.77685825148538867</v>
      </c>
    </row>
    <row r="64" spans="2:15" ht="15.75">
      <c r="B64" s="22"/>
      <c r="C64" s="23"/>
      <c r="D64" s="24"/>
      <c r="E64" s="24"/>
      <c r="F64" s="25"/>
      <c r="G64" s="24"/>
      <c r="H64" s="26"/>
      <c r="I64" s="27"/>
      <c r="J64" s="49"/>
      <c r="K64" s="41"/>
      <c r="L64" s="27"/>
      <c r="M64" s="49"/>
      <c r="N64" s="41"/>
      <c r="O64" s="29"/>
    </row>
    <row r="65" spans="2:15" ht="15.75">
      <c r="B65" s="31"/>
      <c r="C65" s="32">
        <v>9</v>
      </c>
      <c r="D65" s="33" t="s">
        <v>45</v>
      </c>
      <c r="E65" s="34"/>
      <c r="F65" s="34"/>
      <c r="G65" s="34"/>
      <c r="H65" s="35"/>
      <c r="I65" s="36">
        <v>250000</v>
      </c>
      <c r="J65" s="37"/>
      <c r="K65" s="38">
        <f t="shared" ref="K65:L65" si="34">SUM(K66:K67)</f>
        <v>50337200000</v>
      </c>
      <c r="L65" s="38">
        <f t="shared" si="34"/>
        <v>116013</v>
      </c>
      <c r="M65" s="37"/>
      <c r="N65" s="38">
        <f>SUM(N66:N67)</f>
        <v>23111850000</v>
      </c>
      <c r="O65" s="39">
        <f t="shared" ref="O65:O67" si="35">N65/K65</f>
        <v>0.45914055608973087</v>
      </c>
    </row>
    <row r="66" spans="2:15" ht="15.75">
      <c r="B66" s="22"/>
      <c r="C66" s="23"/>
      <c r="D66" s="24" t="s">
        <v>10</v>
      </c>
      <c r="E66" s="25" t="s">
        <v>46</v>
      </c>
      <c r="F66" s="24"/>
      <c r="G66" s="24"/>
      <c r="H66" s="26"/>
      <c r="I66" s="27">
        <v>121628</v>
      </c>
      <c r="J66" s="28">
        <v>150000</v>
      </c>
      <c r="K66" s="28">
        <f t="shared" ref="K66:K67" si="36">I66*J66</f>
        <v>18244200000</v>
      </c>
      <c r="L66" s="27">
        <f>JANUARI!L66+FEB!L66+MARET!L66+APRIL!L66+MEI!L66+JUNI!L66+JULI!L66+AGUSTUS!L66+SEPT!L66+OKT!L66+NOV!L66+DES!L66</f>
        <v>58914</v>
      </c>
      <c r="M66" s="28">
        <v>150000</v>
      </c>
      <c r="N66" s="28">
        <f t="shared" ref="N66:N67" si="37">L66*M66</f>
        <v>8837100000</v>
      </c>
      <c r="O66" s="29">
        <f t="shared" si="35"/>
        <v>0.48437859703357777</v>
      </c>
    </row>
    <row r="67" spans="2:15" ht="15.75">
      <c r="B67" s="22"/>
      <c r="C67" s="23"/>
      <c r="D67" s="24" t="s">
        <v>12</v>
      </c>
      <c r="E67" s="25" t="s">
        <v>40</v>
      </c>
      <c r="F67" s="24"/>
      <c r="G67" s="24"/>
      <c r="H67" s="26"/>
      <c r="I67" s="27">
        <v>128372</v>
      </c>
      <c r="J67" s="28">
        <v>250000</v>
      </c>
      <c r="K67" s="28">
        <f t="shared" si="36"/>
        <v>32093000000</v>
      </c>
      <c r="L67" s="27">
        <f>JANUARI!L67+FEB!L67+MARET!L67+APRIL!L67+MEI!L67+JUNI!L67+JULI!L67+AGUSTUS!L67+SEPT!L67+OKT!L67+NOV!L67+DES!L67</f>
        <v>57099</v>
      </c>
      <c r="M67" s="28">
        <v>250000</v>
      </c>
      <c r="N67" s="28">
        <f t="shared" si="37"/>
        <v>14274750000</v>
      </c>
      <c r="O67" s="29">
        <f t="shared" si="35"/>
        <v>0.44479325709656309</v>
      </c>
    </row>
    <row r="68" spans="2:15" ht="15.75">
      <c r="B68" s="22"/>
      <c r="C68" s="23"/>
      <c r="D68" s="24"/>
      <c r="E68" s="25"/>
      <c r="F68" s="24"/>
      <c r="G68" s="24"/>
      <c r="H68" s="26"/>
      <c r="I68" s="46"/>
      <c r="J68" s="49"/>
      <c r="K68" s="41"/>
      <c r="L68" s="27"/>
      <c r="M68" s="49"/>
      <c r="N68" s="41"/>
      <c r="O68" s="29"/>
    </row>
    <row r="69" spans="2:15" ht="15.75">
      <c r="B69" s="31"/>
      <c r="C69" s="32">
        <v>10</v>
      </c>
      <c r="D69" s="33" t="s">
        <v>47</v>
      </c>
      <c r="E69" s="34"/>
      <c r="F69" s="34"/>
      <c r="G69" s="34"/>
      <c r="H69" s="35"/>
      <c r="I69" s="36">
        <v>0</v>
      </c>
      <c r="J69" s="37"/>
      <c r="K69" s="38">
        <f t="shared" ref="K69:L69" si="38">+K70+K73</f>
        <v>0</v>
      </c>
      <c r="L69" s="38">
        <f t="shared" si="38"/>
        <v>0</v>
      </c>
      <c r="M69" s="37"/>
      <c r="N69" s="38">
        <f>+N70+N73</f>
        <v>0</v>
      </c>
      <c r="O69" s="39" t="e">
        <f t="shared" ref="O69:O75" si="39">N69/K69</f>
        <v>#DIV/0!</v>
      </c>
    </row>
    <row r="70" spans="2:15" ht="15.75">
      <c r="B70" s="22"/>
      <c r="C70" s="23"/>
      <c r="D70" s="47" t="s">
        <v>10</v>
      </c>
      <c r="E70" s="45" t="s">
        <v>46</v>
      </c>
      <c r="F70" s="24"/>
      <c r="G70" s="24"/>
      <c r="H70" s="26"/>
      <c r="I70" s="48">
        <v>0</v>
      </c>
      <c r="J70" s="49"/>
      <c r="K70" s="50">
        <f t="shared" ref="K70:L70" si="40">SUM(K71:K72)</f>
        <v>0</v>
      </c>
      <c r="L70" s="50">
        <f t="shared" si="40"/>
        <v>0</v>
      </c>
      <c r="M70" s="49"/>
      <c r="N70" s="50">
        <f>SUM(N71:N72)</f>
        <v>0</v>
      </c>
      <c r="O70" s="29" t="e">
        <f t="shared" si="39"/>
        <v>#DIV/0!</v>
      </c>
    </row>
    <row r="71" spans="2:15" ht="15.75">
      <c r="B71" s="22"/>
      <c r="C71" s="23"/>
      <c r="D71" s="24"/>
      <c r="E71" s="24" t="s">
        <v>33</v>
      </c>
      <c r="F71" s="25" t="s">
        <v>34</v>
      </c>
      <c r="G71" s="24"/>
      <c r="H71" s="26"/>
      <c r="I71" s="27">
        <v>0</v>
      </c>
      <c r="J71" s="28">
        <v>100000</v>
      </c>
      <c r="K71" s="28">
        <f t="shared" ref="K71:K72" si="41">I71*J71</f>
        <v>0</v>
      </c>
      <c r="L71" s="27">
        <f>JANUARI!L71+FEB!L71+MARET!L71+APRIL!L71+MEI!L71+JUNI!L71+JULI!L71+AGUSTUS!L71+SEPT!L71+OKT!L71+NOV!L71+DES!L71</f>
        <v>0</v>
      </c>
      <c r="M71" s="28">
        <v>100000</v>
      </c>
      <c r="N71" s="28">
        <f t="shared" ref="N71:N72" si="42">L71*M71</f>
        <v>0</v>
      </c>
      <c r="O71" s="29" t="e">
        <f t="shared" si="39"/>
        <v>#DIV/0!</v>
      </c>
    </row>
    <row r="72" spans="2:15" ht="15.75">
      <c r="B72" s="22"/>
      <c r="C72" s="23"/>
      <c r="D72" s="24"/>
      <c r="E72" s="24" t="s">
        <v>35</v>
      </c>
      <c r="F72" s="25" t="s">
        <v>36</v>
      </c>
      <c r="G72" s="24"/>
      <c r="H72" s="26"/>
      <c r="I72" s="27">
        <v>0</v>
      </c>
      <c r="J72" s="28">
        <v>100000</v>
      </c>
      <c r="K72" s="28">
        <f t="shared" si="41"/>
        <v>0</v>
      </c>
      <c r="L72" s="27">
        <f>JANUARI!L72+FEB!L72+MARET!L72+APRIL!L72+MEI!L72+JUNI!L72+JULI!L72+AGUSTUS!L72+SEPT!L72+OKT!L72+NOV!L72+DES!L72</f>
        <v>0</v>
      </c>
      <c r="M72" s="28">
        <v>100000</v>
      </c>
      <c r="N72" s="28">
        <f t="shared" si="42"/>
        <v>0</v>
      </c>
      <c r="O72" s="29" t="e">
        <f t="shared" si="39"/>
        <v>#DIV/0!</v>
      </c>
    </row>
    <row r="73" spans="2:15" ht="15.75">
      <c r="B73" s="22"/>
      <c r="C73" s="23"/>
      <c r="D73" s="47" t="s">
        <v>12</v>
      </c>
      <c r="E73" s="45" t="s">
        <v>40</v>
      </c>
      <c r="F73" s="24"/>
      <c r="G73" s="24"/>
      <c r="H73" s="26"/>
      <c r="I73" s="48">
        <v>0</v>
      </c>
      <c r="J73" s="49"/>
      <c r="K73" s="50">
        <f>SUM(K74:K75)</f>
        <v>0</v>
      </c>
      <c r="L73" s="50">
        <f>SUM(L74:L75)</f>
        <v>0</v>
      </c>
      <c r="M73" s="49"/>
      <c r="N73" s="50">
        <f>SUM(N74:N75)</f>
        <v>0</v>
      </c>
      <c r="O73" s="29" t="e">
        <f t="shared" si="39"/>
        <v>#DIV/0!</v>
      </c>
    </row>
    <row r="74" spans="2:15" ht="15.75">
      <c r="B74" s="22"/>
      <c r="C74" s="23"/>
      <c r="D74" s="24"/>
      <c r="E74" s="24" t="s">
        <v>33</v>
      </c>
      <c r="F74" s="25" t="s">
        <v>34</v>
      </c>
      <c r="G74" s="24"/>
      <c r="H74" s="26"/>
      <c r="I74" s="27">
        <v>0</v>
      </c>
      <c r="J74" s="28">
        <v>200000</v>
      </c>
      <c r="K74" s="28">
        <f t="shared" ref="K74:K75" si="43">I74*J74</f>
        <v>0</v>
      </c>
      <c r="L74" s="27">
        <f>JANUARI!L74+FEB!L74+MARET!L74+APRIL!L74+MEI!L74+JUNI!L74+JULI!L74+AGUSTUS!L74+SEPT!L74+OKT!L74+NOV!L74+DES!L74</f>
        <v>0</v>
      </c>
      <c r="M74" s="28">
        <v>200000</v>
      </c>
      <c r="N74" s="28">
        <f t="shared" ref="N74:N75" si="44">L74*M74</f>
        <v>0</v>
      </c>
      <c r="O74" s="29" t="e">
        <f t="shared" si="39"/>
        <v>#DIV/0!</v>
      </c>
    </row>
    <row r="75" spans="2:15" ht="15.75">
      <c r="B75" s="22"/>
      <c r="C75" s="23"/>
      <c r="D75" s="24"/>
      <c r="E75" s="24" t="s">
        <v>35</v>
      </c>
      <c r="F75" s="25" t="s">
        <v>36</v>
      </c>
      <c r="G75" s="24"/>
      <c r="H75" s="26"/>
      <c r="I75" s="27">
        <v>0</v>
      </c>
      <c r="J75" s="28">
        <v>200000</v>
      </c>
      <c r="K75" s="28">
        <f t="shared" si="43"/>
        <v>0</v>
      </c>
      <c r="L75" s="27">
        <f>JANUARI!L75+FEB!L75+MARET!L75+APRIL!L75+MEI!L75+JUNI!L75+JULI!L75+AGUSTUS!L75+SEPT!L75+OKT!L75+NOV!L75+DES!L75</f>
        <v>0</v>
      </c>
      <c r="M75" s="28">
        <v>200000</v>
      </c>
      <c r="N75" s="28">
        <f t="shared" si="44"/>
        <v>0</v>
      </c>
      <c r="O75" s="29" t="e">
        <f t="shared" si="39"/>
        <v>#DIV/0!</v>
      </c>
    </row>
    <row r="76" spans="2:15" ht="15.75">
      <c r="B76" s="51"/>
      <c r="C76" s="52"/>
      <c r="D76" s="53"/>
      <c r="E76" s="53"/>
      <c r="F76" s="54"/>
      <c r="G76" s="53"/>
      <c r="H76" s="55"/>
      <c r="I76" s="56"/>
      <c r="J76" s="68"/>
      <c r="K76" s="68"/>
      <c r="L76" s="27"/>
      <c r="M76" s="68"/>
      <c r="N76" s="68"/>
      <c r="O76" s="59"/>
    </row>
    <row r="77" spans="2:15" ht="15.75">
      <c r="B77" s="31"/>
      <c r="C77" s="32">
        <v>11</v>
      </c>
      <c r="D77" s="33" t="s">
        <v>48</v>
      </c>
      <c r="E77" s="42"/>
      <c r="F77" s="34"/>
      <c r="G77" s="34"/>
      <c r="H77" s="35"/>
      <c r="I77" s="36">
        <v>0</v>
      </c>
      <c r="J77" s="37"/>
      <c r="K77" s="38">
        <f t="shared" ref="K77:L77" si="45">K78+K81</f>
        <v>0</v>
      </c>
      <c r="L77" s="38">
        <f t="shared" si="45"/>
        <v>0</v>
      </c>
      <c r="M77" s="37"/>
      <c r="N77" s="38">
        <f>N78+N81</f>
        <v>0</v>
      </c>
      <c r="O77" s="39" t="e">
        <f t="shared" ref="O77:O83" si="46">N77/K77</f>
        <v>#DIV/0!</v>
      </c>
    </row>
    <row r="78" spans="2:15" ht="15.75">
      <c r="B78" s="22"/>
      <c r="C78" s="23"/>
      <c r="D78" s="47" t="s">
        <v>10</v>
      </c>
      <c r="E78" s="45" t="s">
        <v>46</v>
      </c>
      <c r="F78" s="24"/>
      <c r="G78" s="24"/>
      <c r="H78" s="26"/>
      <c r="I78" s="48">
        <v>0</v>
      </c>
      <c r="J78" s="49"/>
      <c r="K78" s="50">
        <f t="shared" ref="K78:L78" si="47">SUM(K79:K80)</f>
        <v>0</v>
      </c>
      <c r="L78" s="50">
        <f t="shared" si="47"/>
        <v>0</v>
      </c>
      <c r="M78" s="49"/>
      <c r="N78" s="50">
        <f>SUM(N79:N80)</f>
        <v>0</v>
      </c>
      <c r="O78" s="29" t="e">
        <f t="shared" si="46"/>
        <v>#DIV/0!</v>
      </c>
    </row>
    <row r="79" spans="2:15" ht="15.75">
      <c r="B79" s="22"/>
      <c r="C79" s="23"/>
      <c r="D79" s="24"/>
      <c r="E79" s="24" t="s">
        <v>33</v>
      </c>
      <c r="F79" s="25" t="s">
        <v>34</v>
      </c>
      <c r="G79" s="24"/>
      <c r="H79" s="26"/>
      <c r="I79" s="27">
        <v>0</v>
      </c>
      <c r="J79" s="28">
        <v>100000</v>
      </c>
      <c r="K79" s="28">
        <f t="shared" ref="K79:K80" si="48">I79*J79</f>
        <v>0</v>
      </c>
      <c r="L79" s="27">
        <f>JANUARI!L79+FEB!L79+MARET!L79+APRIL!L79+MEI!L79+JUNI!L79+JULI!L79+AGUSTUS!L79+SEPT!L79+OKT!L79+NOV!L79+DES!L79</f>
        <v>0</v>
      </c>
      <c r="M79" s="28">
        <v>100000</v>
      </c>
      <c r="N79" s="28">
        <f t="shared" ref="N79:N80" si="49">L79*M79</f>
        <v>0</v>
      </c>
      <c r="O79" s="29" t="e">
        <f t="shared" si="46"/>
        <v>#DIV/0!</v>
      </c>
    </row>
    <row r="80" spans="2:15" ht="15.75">
      <c r="B80" s="22"/>
      <c r="C80" s="23"/>
      <c r="D80" s="24"/>
      <c r="E80" s="24" t="s">
        <v>35</v>
      </c>
      <c r="F80" s="25" t="s">
        <v>36</v>
      </c>
      <c r="G80" s="24"/>
      <c r="H80" s="26"/>
      <c r="I80" s="27"/>
      <c r="J80" s="28">
        <v>100000</v>
      </c>
      <c r="K80" s="28">
        <f t="shared" si="48"/>
        <v>0</v>
      </c>
      <c r="L80" s="27">
        <f>JANUARI!L80+FEB!L80+MARET!L80+APRIL!L80+MEI!L80+JUNI!L80+JULI!L80+AGUSTUS!L80+SEPT!L80+OKT!L80+NOV!L80+DES!L80</f>
        <v>0</v>
      </c>
      <c r="M80" s="28">
        <v>100000</v>
      </c>
      <c r="N80" s="28">
        <f t="shared" si="49"/>
        <v>0</v>
      </c>
      <c r="O80" s="29" t="e">
        <f t="shared" si="46"/>
        <v>#DIV/0!</v>
      </c>
    </row>
    <row r="81" spans="2:15" ht="15.75">
      <c r="B81" s="22"/>
      <c r="C81" s="23"/>
      <c r="D81" s="47" t="s">
        <v>12</v>
      </c>
      <c r="E81" s="45" t="s">
        <v>40</v>
      </c>
      <c r="F81" s="24"/>
      <c r="G81" s="24"/>
      <c r="H81" s="26"/>
      <c r="I81" s="48">
        <v>0</v>
      </c>
      <c r="J81" s="49"/>
      <c r="K81" s="50">
        <f t="shared" ref="K81:L81" si="50">SUM(K82:K83)</f>
        <v>0</v>
      </c>
      <c r="L81" s="50">
        <f t="shared" si="50"/>
        <v>0</v>
      </c>
      <c r="M81" s="49"/>
      <c r="N81" s="50">
        <f>SUM(N82:N83)</f>
        <v>0</v>
      </c>
      <c r="O81" s="29" t="e">
        <f t="shared" si="46"/>
        <v>#DIV/0!</v>
      </c>
    </row>
    <row r="82" spans="2:15" ht="15.75">
      <c r="B82" s="22"/>
      <c r="C82" s="23"/>
      <c r="D82" s="24"/>
      <c r="E82" s="24" t="s">
        <v>33</v>
      </c>
      <c r="F82" s="25" t="s">
        <v>34</v>
      </c>
      <c r="G82" s="24"/>
      <c r="H82" s="26"/>
      <c r="I82" s="27">
        <v>0</v>
      </c>
      <c r="J82" s="28">
        <v>200000</v>
      </c>
      <c r="K82" s="28">
        <f t="shared" ref="K82:K83" si="51">I82*J82</f>
        <v>0</v>
      </c>
      <c r="L82" s="27">
        <f>JANUARI!L82+FEB!L82+MARET!L82+APRIL!L82+MEI!L82+JUNI!L82+JULI!L82+AGUSTUS!L82+SEPT!L82+OKT!L82+NOV!L82+DES!L82</f>
        <v>0</v>
      </c>
      <c r="M82" s="28">
        <v>200000</v>
      </c>
      <c r="N82" s="28">
        <f t="shared" ref="N82:N83" si="52">L82*M82</f>
        <v>0</v>
      </c>
      <c r="O82" s="29" t="e">
        <f t="shared" si="46"/>
        <v>#DIV/0!</v>
      </c>
    </row>
    <row r="83" spans="2:15" ht="15.75">
      <c r="B83" s="22"/>
      <c r="C83" s="23"/>
      <c r="D83" s="24"/>
      <c r="E83" s="24" t="s">
        <v>35</v>
      </c>
      <c r="F83" s="25" t="s">
        <v>36</v>
      </c>
      <c r="G83" s="24"/>
      <c r="H83" s="26"/>
      <c r="I83" s="27">
        <v>0</v>
      </c>
      <c r="J83" s="28">
        <v>200000</v>
      </c>
      <c r="K83" s="28">
        <f t="shared" si="51"/>
        <v>0</v>
      </c>
      <c r="L83" s="27">
        <f>JANUARI!L83+FEB!L83+MARET!L83+APRIL!L83+MEI!L83+JUNI!L83+JULI!L83+AGUSTUS!L83+SEPT!L83+OKT!L83+NOV!L83+DES!L83</f>
        <v>0</v>
      </c>
      <c r="M83" s="28">
        <v>200000</v>
      </c>
      <c r="N83" s="28">
        <f t="shared" si="52"/>
        <v>0</v>
      </c>
      <c r="O83" s="29" t="e">
        <f t="shared" si="46"/>
        <v>#DIV/0!</v>
      </c>
    </row>
    <row r="84" spans="2:15" ht="15.75">
      <c r="B84" s="22"/>
      <c r="C84" s="23"/>
      <c r="D84" s="24"/>
      <c r="E84" s="25"/>
      <c r="F84" s="24"/>
      <c r="G84" s="24"/>
      <c r="H84" s="26"/>
      <c r="I84" s="27"/>
      <c r="J84" s="49"/>
      <c r="K84" s="41"/>
      <c r="L84" s="27"/>
      <c r="M84" s="49"/>
      <c r="N84" s="41"/>
      <c r="O84" s="29"/>
    </row>
    <row r="85" spans="2:15" ht="15.75">
      <c r="B85" s="31"/>
      <c r="C85" s="32">
        <v>12</v>
      </c>
      <c r="D85" s="33" t="s">
        <v>49</v>
      </c>
      <c r="E85" s="42"/>
      <c r="F85" s="42"/>
      <c r="G85" s="42"/>
      <c r="H85" s="35"/>
      <c r="I85" s="36">
        <v>12000</v>
      </c>
      <c r="J85" s="37"/>
      <c r="K85" s="38">
        <f>+K86+K89+K92+K95</f>
        <v>99500000000</v>
      </c>
      <c r="L85" s="38">
        <f>+L86+L89+L92+L95</f>
        <v>5136</v>
      </c>
      <c r="M85" s="37"/>
      <c r="N85" s="38">
        <f>+N86+N89+N92+N95</f>
        <v>45525000000</v>
      </c>
      <c r="O85" s="39">
        <f t="shared" ref="O85:O97" si="53">N85/K85</f>
        <v>0.45753768844221104</v>
      </c>
    </row>
    <row r="86" spans="2:15" ht="15.75">
      <c r="B86" s="22"/>
      <c r="C86" s="23"/>
      <c r="D86" s="47" t="s">
        <v>10</v>
      </c>
      <c r="E86" s="45" t="s">
        <v>50</v>
      </c>
      <c r="F86" s="24"/>
      <c r="G86" s="24"/>
      <c r="H86" s="26"/>
      <c r="I86" s="48">
        <v>1053</v>
      </c>
      <c r="J86" s="49"/>
      <c r="K86" s="50">
        <f>SUM(K87:K88)</f>
        <v>16585000000</v>
      </c>
      <c r="L86" s="50">
        <f>SUM(L87:L88)</f>
        <v>575</v>
      </c>
      <c r="M86" s="49"/>
      <c r="N86" s="50">
        <f>SUM(N87:N88)</f>
        <v>8665000000</v>
      </c>
      <c r="O86" s="29">
        <f t="shared" si="53"/>
        <v>0.52246005426590292</v>
      </c>
    </row>
    <row r="87" spans="2:15" ht="15.75">
      <c r="B87" s="22"/>
      <c r="C87" s="23"/>
      <c r="D87" s="24"/>
      <c r="E87" s="24" t="s">
        <v>33</v>
      </c>
      <c r="F87" s="25" t="s">
        <v>51</v>
      </c>
      <c r="G87" s="24"/>
      <c r="H87" s="26"/>
      <c r="I87" s="27">
        <v>158</v>
      </c>
      <c r="J87" s="28">
        <v>20000000</v>
      </c>
      <c r="K87" s="28">
        <f t="shared" ref="K87:K88" si="54">I87*J87</f>
        <v>3160000000</v>
      </c>
      <c r="L87" s="27">
        <f>JANUARI!L87+FEB!L87+MARET!L87+APRIL!L87+MEI!L87+JUNI!L87+JULI!L87+AGUSTUS!L87+SEPT!L87+OKT!L87+NOV!L87+DES!L87</f>
        <v>8</v>
      </c>
      <c r="M87" s="28">
        <v>20000000</v>
      </c>
      <c r="N87" s="28">
        <f t="shared" ref="N87:N88" si="55">L87*M87</f>
        <v>160000000</v>
      </c>
      <c r="O87" s="29">
        <f t="shared" si="53"/>
        <v>5.0632911392405063E-2</v>
      </c>
    </row>
    <row r="88" spans="2:15" ht="15.75">
      <c r="B88" s="22"/>
      <c r="C88" s="23"/>
      <c r="D88" s="24"/>
      <c r="E88" s="24" t="s">
        <v>35</v>
      </c>
      <c r="F88" s="25" t="s">
        <v>52</v>
      </c>
      <c r="G88" s="24"/>
      <c r="H88" s="26"/>
      <c r="I88" s="27">
        <v>895</v>
      </c>
      <c r="J88" s="28">
        <v>15000000</v>
      </c>
      <c r="K88" s="28">
        <f t="shared" si="54"/>
        <v>13425000000</v>
      </c>
      <c r="L88" s="27">
        <f>JANUARI!L88+FEB!L88+MARET!L88+APRIL!L88+MEI!L88+JUNI!L88+JULI!L88+AGUSTUS!L88+SEPT!L88+OKT!L88+NOV!L88+DES!L88</f>
        <v>567</v>
      </c>
      <c r="M88" s="28">
        <v>15000000</v>
      </c>
      <c r="N88" s="28">
        <f t="shared" si="55"/>
        <v>8505000000</v>
      </c>
      <c r="O88" s="29">
        <f t="shared" si="53"/>
        <v>0.63351955307262575</v>
      </c>
    </row>
    <row r="89" spans="2:15" ht="15.75">
      <c r="B89" s="22"/>
      <c r="C89" s="23"/>
      <c r="D89" s="47" t="s">
        <v>12</v>
      </c>
      <c r="E89" s="45" t="s">
        <v>53</v>
      </c>
      <c r="F89" s="24"/>
      <c r="G89" s="24"/>
      <c r="H89" s="26"/>
      <c r="I89" s="48">
        <v>2383</v>
      </c>
      <c r="J89" s="49"/>
      <c r="K89" s="50">
        <f t="shared" ref="K89:L89" si="56">SUM(K90:K91)</f>
        <v>25435000000</v>
      </c>
      <c r="L89" s="50">
        <f t="shared" si="56"/>
        <v>1263</v>
      </c>
      <c r="M89" s="49"/>
      <c r="N89" s="50">
        <f>SUM(N90:N91)</f>
        <v>12865000000</v>
      </c>
      <c r="O89" s="29">
        <f t="shared" si="53"/>
        <v>0.50579909573422455</v>
      </c>
    </row>
    <row r="90" spans="2:15" ht="15.75">
      <c r="B90" s="22"/>
      <c r="C90" s="23"/>
      <c r="D90" s="24"/>
      <c r="E90" s="24" t="s">
        <v>33</v>
      </c>
      <c r="F90" s="25" t="s">
        <v>51</v>
      </c>
      <c r="G90" s="24"/>
      <c r="H90" s="26"/>
      <c r="I90" s="27">
        <v>321</v>
      </c>
      <c r="J90" s="28">
        <v>15000000</v>
      </c>
      <c r="K90" s="28">
        <f t="shared" ref="K90:K91" si="57">I90*J90</f>
        <v>4815000000</v>
      </c>
      <c r="L90" s="27">
        <f>JANUARI!L90+FEB!L90+MARET!L90+APRIL!L90+MEI!L90+JUNI!L90+JULI!L90+AGUSTUS!L90+SEPT!L90+OKT!L90+NOV!L90+DES!L90</f>
        <v>47</v>
      </c>
      <c r="M90" s="28">
        <v>15000000</v>
      </c>
      <c r="N90" s="28">
        <f t="shared" ref="N90:N91" si="58">L90*M90</f>
        <v>705000000</v>
      </c>
      <c r="O90" s="29">
        <f t="shared" si="53"/>
        <v>0.14641744548286603</v>
      </c>
    </row>
    <row r="91" spans="2:15" ht="15">
      <c r="B91" s="69"/>
      <c r="C91" s="70"/>
      <c r="D91" s="25"/>
      <c r="E91" s="24" t="s">
        <v>35</v>
      </c>
      <c r="F91" s="25" t="s">
        <v>52</v>
      </c>
      <c r="G91" s="25"/>
      <c r="H91" s="71"/>
      <c r="I91" s="27">
        <v>2062</v>
      </c>
      <c r="J91" s="28">
        <v>10000000</v>
      </c>
      <c r="K91" s="28">
        <f t="shared" si="57"/>
        <v>20620000000</v>
      </c>
      <c r="L91" s="27">
        <f>JANUARI!L91+FEB!L91+MARET!L91+APRIL!L91+MEI!L91+JUNI!L91+JULI!L91+AGUSTUS!L91+SEPT!L91+OKT!L91+NOV!L91+DES!L91</f>
        <v>1216</v>
      </c>
      <c r="M91" s="28">
        <v>10000000</v>
      </c>
      <c r="N91" s="28">
        <f t="shared" si="58"/>
        <v>12160000000</v>
      </c>
      <c r="O91" s="29">
        <f t="shared" si="53"/>
        <v>0.58971871968962175</v>
      </c>
    </row>
    <row r="92" spans="2:15" ht="15.75">
      <c r="B92" s="69"/>
      <c r="C92" s="70"/>
      <c r="D92" s="47" t="s">
        <v>14</v>
      </c>
      <c r="E92" s="45" t="s">
        <v>54</v>
      </c>
      <c r="F92" s="25"/>
      <c r="G92" s="25"/>
      <c r="H92" s="71"/>
      <c r="I92" s="48">
        <v>4609</v>
      </c>
      <c r="J92" s="28"/>
      <c r="K92" s="50">
        <f t="shared" ref="K92:L92" si="59">SUM(K93:K94)</f>
        <v>35915000000</v>
      </c>
      <c r="L92" s="50">
        <f t="shared" si="59"/>
        <v>2619</v>
      </c>
      <c r="M92" s="28"/>
      <c r="N92" s="50">
        <f>SUM(N93:N94)</f>
        <v>20017500000</v>
      </c>
      <c r="O92" s="29">
        <f t="shared" si="53"/>
        <v>0.55735765000696091</v>
      </c>
    </row>
    <row r="93" spans="2:15" ht="15">
      <c r="B93" s="69"/>
      <c r="C93" s="70"/>
      <c r="D93" s="24"/>
      <c r="E93" s="24" t="s">
        <v>33</v>
      </c>
      <c r="F93" s="25" t="s">
        <v>51</v>
      </c>
      <c r="G93" s="25"/>
      <c r="H93" s="71"/>
      <c r="I93" s="27">
        <v>539</v>
      </c>
      <c r="J93" s="28">
        <v>10000000</v>
      </c>
      <c r="K93" s="28">
        <f t="shared" ref="K93:K94" si="60">I93*J93</f>
        <v>5390000000</v>
      </c>
      <c r="L93" s="27">
        <f>JANUARI!L93+FEB!L93+MARET!L93+APRIL!L93+MEI!L93+JUNI!L93+JULI!L93+AGUSTUS!L93+SEPT!L93+OKT!L93+NOV!L93+DES!L93</f>
        <v>150</v>
      </c>
      <c r="M93" s="28">
        <v>10000000</v>
      </c>
      <c r="N93" s="28">
        <f t="shared" ref="N93:N94" si="61">L93*M93</f>
        <v>1500000000</v>
      </c>
      <c r="O93" s="29">
        <f t="shared" si="53"/>
        <v>0.2782931354359926</v>
      </c>
    </row>
    <row r="94" spans="2:15" ht="15">
      <c r="B94" s="69"/>
      <c r="C94" s="70"/>
      <c r="D94" s="24"/>
      <c r="E94" s="24" t="s">
        <v>35</v>
      </c>
      <c r="F94" s="25" t="s">
        <v>52</v>
      </c>
      <c r="G94" s="25"/>
      <c r="H94" s="71"/>
      <c r="I94" s="27">
        <v>4070</v>
      </c>
      <c r="J94" s="28">
        <v>7500000</v>
      </c>
      <c r="K94" s="28">
        <f t="shared" si="60"/>
        <v>30525000000</v>
      </c>
      <c r="L94" s="27">
        <f>JANUARI!L94+FEB!L94+MARET!L94+APRIL!L94+MEI!L94+JUNI!L94+JULI!L94+AGUSTUS!L94+SEPT!L94+OKT!L94+NOV!L94+DES!L94</f>
        <v>2469</v>
      </c>
      <c r="M94" s="28">
        <v>7500000</v>
      </c>
      <c r="N94" s="28">
        <f t="shared" si="61"/>
        <v>18517500000</v>
      </c>
      <c r="O94" s="29">
        <f t="shared" si="53"/>
        <v>0.60663390663390659</v>
      </c>
    </row>
    <row r="95" spans="2:15" ht="15.75">
      <c r="B95" s="69"/>
      <c r="C95" s="70"/>
      <c r="D95" s="47" t="s">
        <v>16</v>
      </c>
      <c r="E95" s="45" t="s">
        <v>55</v>
      </c>
      <c r="F95" s="25"/>
      <c r="G95" s="25"/>
      <c r="H95" s="71"/>
      <c r="I95" s="48">
        <v>3955</v>
      </c>
      <c r="J95" s="28"/>
      <c r="K95" s="50">
        <f t="shared" ref="K95:L95" si="62">SUM(K96:K97)</f>
        <v>21565000000</v>
      </c>
      <c r="L95" s="50">
        <f t="shared" si="62"/>
        <v>679</v>
      </c>
      <c r="M95" s="28"/>
      <c r="N95" s="50">
        <f>SUM(N96:N97)</f>
        <v>3977500000</v>
      </c>
      <c r="O95" s="29">
        <f t="shared" si="53"/>
        <v>0.18444238349176906</v>
      </c>
    </row>
    <row r="96" spans="2:15" ht="15">
      <c r="B96" s="69"/>
      <c r="C96" s="70"/>
      <c r="D96" s="25"/>
      <c r="E96" s="24" t="s">
        <v>33</v>
      </c>
      <c r="F96" s="25" t="s">
        <v>51</v>
      </c>
      <c r="G96" s="25"/>
      <c r="H96" s="71"/>
      <c r="I96" s="27">
        <v>716</v>
      </c>
      <c r="J96" s="28">
        <v>7500000</v>
      </c>
      <c r="K96" s="28">
        <f t="shared" ref="K96:K97" si="63">I96*J96</f>
        <v>5370000000</v>
      </c>
      <c r="L96" s="27">
        <f>JANUARI!L96+FEB!L96+MARET!L96+APRIL!L96+MEI!L96+JUNI!L96+JULI!L96+AGUSTUS!L96+SEPT!L96+OKT!L96+NOV!L96+DES!L96</f>
        <v>233</v>
      </c>
      <c r="M96" s="28">
        <v>7500000</v>
      </c>
      <c r="N96" s="28">
        <f t="shared" ref="N96:N97" si="64">L96*M96</f>
        <v>1747500000</v>
      </c>
      <c r="O96" s="29">
        <f t="shared" si="53"/>
        <v>0.32541899441340782</v>
      </c>
    </row>
    <row r="97" spans="2:18" ht="15">
      <c r="B97" s="69"/>
      <c r="C97" s="70"/>
      <c r="D97" s="25"/>
      <c r="E97" s="24" t="s">
        <v>35</v>
      </c>
      <c r="F97" s="25" t="s">
        <v>52</v>
      </c>
      <c r="G97" s="25"/>
      <c r="H97" s="71"/>
      <c r="I97" s="27">
        <v>3239</v>
      </c>
      <c r="J97" s="28">
        <v>5000000</v>
      </c>
      <c r="K97" s="28">
        <f t="shared" si="63"/>
        <v>16195000000</v>
      </c>
      <c r="L97" s="27">
        <f>JANUARI!L97+FEB!L97+MARET!L97+APRIL!L97+MEI!L97+JUNI!L97+JULI!L97+AGUSTUS!L97+SEPT!L97+OKT!L97+NOV!L97+DES!L97</f>
        <v>446</v>
      </c>
      <c r="M97" s="28">
        <v>5000000</v>
      </c>
      <c r="N97" s="28">
        <f t="shared" si="64"/>
        <v>2230000000</v>
      </c>
      <c r="O97" s="29">
        <f t="shared" si="53"/>
        <v>0.13769682000617475</v>
      </c>
    </row>
    <row r="98" spans="2:18" ht="15">
      <c r="B98" s="72"/>
      <c r="C98" s="73"/>
      <c r="D98" s="74"/>
      <c r="E98" s="74"/>
      <c r="F98" s="74"/>
      <c r="G98" s="74"/>
      <c r="H98" s="75"/>
      <c r="I98" s="76"/>
      <c r="J98" s="77"/>
      <c r="K98" s="78"/>
      <c r="L98" s="76"/>
      <c r="M98" s="77"/>
      <c r="N98" s="78"/>
      <c r="O98" s="79"/>
    </row>
    <row r="99" spans="2:18" ht="15.75">
      <c r="B99" s="80"/>
      <c r="C99" s="105" t="s">
        <v>56</v>
      </c>
      <c r="D99" s="103"/>
      <c r="E99" s="103"/>
      <c r="F99" s="103"/>
      <c r="G99" s="103"/>
      <c r="H99" s="104"/>
      <c r="I99" s="81">
        <f>SUM(I13,I24,I35,I37,I45,I49,I53,I57,I65,I69,I77,I85)</f>
        <v>19337001</v>
      </c>
      <c r="J99" s="81"/>
      <c r="K99" s="81">
        <f>SUM(K13,K24,K35,K37,K45,K49,K53,K57,K65,K69,K77,K85)</f>
        <v>2210588370000</v>
      </c>
      <c r="L99" s="81">
        <f>SUM(L13,L24,L35,L37,L45,L49,L53,L57,L65,L69,L77,L85)</f>
        <v>7399499</v>
      </c>
      <c r="M99" s="81"/>
      <c r="N99" s="81">
        <f>SUM(N13,N24,N35,N37,N45,N49,N53,N57,N65,N69,N77,N85)</f>
        <v>830494970000</v>
      </c>
      <c r="O99" s="82">
        <f>N99/K99</f>
        <v>0.37568955906521845</v>
      </c>
    </row>
    <row r="100" spans="2:18" ht="15.75">
      <c r="B100" s="83"/>
      <c r="C100" s="84"/>
      <c r="D100" s="84"/>
      <c r="E100" s="84"/>
      <c r="F100" s="84"/>
      <c r="G100" s="84"/>
      <c r="H100" s="84"/>
      <c r="I100" s="85"/>
      <c r="J100" s="84"/>
      <c r="K100" s="84"/>
      <c r="L100" s="85"/>
      <c r="M100" s="84"/>
      <c r="N100" s="86"/>
      <c r="O100" s="87"/>
    </row>
    <row r="101" spans="2:18" ht="15.75">
      <c r="B101" s="83"/>
      <c r="C101" s="88"/>
      <c r="D101" s="84"/>
      <c r="E101" s="84"/>
      <c r="F101" s="84"/>
      <c r="G101" s="84"/>
      <c r="H101" s="84"/>
      <c r="I101" s="84"/>
      <c r="J101" s="84"/>
      <c r="K101" s="84"/>
      <c r="L101" s="84"/>
      <c r="M101" s="106"/>
      <c r="N101" s="100"/>
      <c r="O101" s="100"/>
    </row>
    <row r="102" spans="2:18" ht="15.75">
      <c r="B102" s="101"/>
      <c r="C102" s="100"/>
      <c r="D102" s="100"/>
      <c r="E102" s="100"/>
      <c r="F102" s="100"/>
      <c r="G102" s="84"/>
      <c r="H102" s="84"/>
      <c r="I102" s="84"/>
      <c r="J102" s="84"/>
      <c r="K102" s="84"/>
      <c r="L102" s="84"/>
      <c r="M102" s="101"/>
      <c r="N102" s="100"/>
      <c r="O102" s="100"/>
    </row>
    <row r="103" spans="2:18" ht="15.75">
      <c r="B103" s="89"/>
      <c r="C103" s="89"/>
      <c r="D103" s="89"/>
      <c r="E103" s="84"/>
      <c r="F103" s="84"/>
      <c r="G103" s="84"/>
      <c r="H103" s="84"/>
      <c r="I103" s="86"/>
      <c r="J103" s="86"/>
      <c r="K103" s="86"/>
      <c r="L103" s="86"/>
      <c r="M103" s="89"/>
      <c r="N103" s="89"/>
      <c r="O103" s="89"/>
    </row>
    <row r="104" spans="2:18" ht="15.75">
      <c r="B104" s="101"/>
      <c r="C104" s="100"/>
      <c r="D104" s="100"/>
      <c r="E104" s="100"/>
      <c r="F104" s="100"/>
      <c r="G104" s="84"/>
      <c r="H104" s="84"/>
      <c r="I104" s="84"/>
      <c r="J104" s="84"/>
      <c r="K104" s="84"/>
      <c r="L104" s="84"/>
      <c r="M104" s="101"/>
      <c r="N104" s="100"/>
      <c r="O104" s="100"/>
    </row>
    <row r="105" spans="2:18" ht="15.75">
      <c r="B105" s="89"/>
      <c r="C105" s="89"/>
      <c r="D105" s="89"/>
      <c r="E105" s="84"/>
      <c r="F105" s="84"/>
      <c r="G105" s="84"/>
      <c r="H105" s="84"/>
      <c r="I105" s="84"/>
      <c r="J105" s="84"/>
      <c r="K105" s="84"/>
      <c r="L105" s="84"/>
      <c r="M105" s="89"/>
      <c r="N105" s="89"/>
      <c r="O105" s="89"/>
      <c r="R105" s="18"/>
    </row>
    <row r="106" spans="2:18" ht="15.75">
      <c r="B106" s="99"/>
      <c r="C106" s="100"/>
      <c r="D106" s="100"/>
      <c r="E106" s="100"/>
      <c r="F106" s="100"/>
      <c r="G106" s="84"/>
      <c r="H106" s="84"/>
      <c r="I106" s="84"/>
      <c r="J106" s="84"/>
      <c r="K106" s="84"/>
      <c r="L106" s="84"/>
      <c r="M106" s="99"/>
      <c r="N106" s="100"/>
      <c r="O106" s="100"/>
      <c r="R106" s="27"/>
    </row>
    <row r="107" spans="2:18" ht="15.75">
      <c r="B107" s="101"/>
      <c r="C107" s="100"/>
      <c r="D107" s="100"/>
      <c r="E107" s="100"/>
      <c r="F107" s="100"/>
      <c r="G107" s="84"/>
      <c r="H107" s="84"/>
      <c r="I107" s="84"/>
      <c r="J107" s="84"/>
      <c r="K107" s="84"/>
      <c r="L107" s="84"/>
      <c r="M107" s="101"/>
      <c r="N107" s="100"/>
      <c r="O107" s="100"/>
      <c r="R107" s="27"/>
    </row>
    <row r="108" spans="2:18" ht="15">
      <c r="R108" s="27"/>
    </row>
    <row r="109" spans="2:18" ht="15">
      <c r="R109" s="27"/>
    </row>
    <row r="110" spans="2:18" ht="15">
      <c r="R110" s="27"/>
    </row>
    <row r="111" spans="2:18" ht="15">
      <c r="R111" s="27"/>
    </row>
    <row r="112" spans="2:18" ht="15">
      <c r="R112" s="27"/>
    </row>
    <row r="113" spans="18:18" ht="15">
      <c r="R113" s="27"/>
    </row>
    <row r="114" spans="18:18" ht="15">
      <c r="R114" s="27"/>
    </row>
    <row r="115" spans="18:18" ht="15">
      <c r="R115" s="30"/>
    </row>
    <row r="116" spans="18:18" ht="15.75">
      <c r="R116" s="36"/>
    </row>
    <row r="117" spans="18:18" ht="15">
      <c r="R117" s="27"/>
    </row>
    <row r="118" spans="18:18" ht="15">
      <c r="R118" s="27"/>
    </row>
    <row r="119" spans="18:18" ht="15">
      <c r="R119" s="27"/>
    </row>
    <row r="120" spans="18:18" ht="15">
      <c r="R120" s="27"/>
    </row>
    <row r="121" spans="18:18" ht="15">
      <c r="R121" s="27"/>
    </row>
    <row r="122" spans="18:18" ht="15">
      <c r="R122" s="27"/>
    </row>
    <row r="123" spans="18:18" ht="15">
      <c r="R123" s="27"/>
    </row>
    <row r="124" spans="18:18" ht="15">
      <c r="R124" s="27"/>
    </row>
    <row r="125" spans="18:18" ht="15">
      <c r="R125" s="27"/>
    </row>
    <row r="126" spans="18:18" ht="15">
      <c r="R126" s="40"/>
    </row>
    <row r="127" spans="18:18" ht="15.75">
      <c r="R127" s="36"/>
    </row>
    <row r="128" spans="18:18" ht="15">
      <c r="R128" s="46"/>
    </row>
    <row r="129" spans="18:18" ht="15.75">
      <c r="R129" s="36"/>
    </row>
    <row r="130" spans="18:18" ht="15.75">
      <c r="R130" s="48"/>
    </row>
    <row r="131" spans="18:18" ht="15">
      <c r="R131" s="27"/>
    </row>
    <row r="132" spans="18:18" ht="15">
      <c r="R132" s="27"/>
    </row>
    <row r="133" spans="18:18" ht="15.75">
      <c r="R133" s="48"/>
    </row>
    <row r="134" spans="18:18" ht="15">
      <c r="R134" s="27"/>
    </row>
    <row r="135" spans="18:18" ht="15">
      <c r="R135" s="27"/>
    </row>
    <row r="136" spans="18:18" ht="15">
      <c r="R136" s="56"/>
    </row>
    <row r="137" spans="18:18" ht="15.75">
      <c r="R137" s="65"/>
    </row>
    <row r="138" spans="18:18" ht="15.75">
      <c r="R138" s="48"/>
    </row>
    <row r="139" spans="18:18" ht="15">
      <c r="R139" s="27"/>
    </row>
    <row r="140" spans="18:18" ht="15">
      <c r="R140" s="27"/>
    </row>
    <row r="141" spans="18:18" ht="15.75">
      <c r="R141" s="36"/>
    </row>
    <row r="142" spans="18:18" ht="15">
      <c r="R142" s="27"/>
    </row>
    <row r="143" spans="18:18" ht="15">
      <c r="R143" s="27"/>
    </row>
    <row r="144" spans="18:18" ht="15">
      <c r="R144" s="27"/>
    </row>
    <row r="145" spans="18:18" ht="15.75">
      <c r="R145" s="36"/>
    </row>
    <row r="146" spans="18:18" ht="15">
      <c r="R146" s="27"/>
    </row>
    <row r="147" spans="18:18" ht="15">
      <c r="R147" s="27"/>
    </row>
    <row r="148" spans="18:18" ht="15">
      <c r="R148" s="27"/>
    </row>
    <row r="149" spans="18:18" ht="15.75">
      <c r="R149" s="36"/>
    </row>
    <row r="150" spans="18:18" ht="15.75">
      <c r="R150" s="48"/>
    </row>
    <row r="151" spans="18:18" ht="15">
      <c r="R151" s="27"/>
    </row>
    <row r="152" spans="18:18" ht="15">
      <c r="R152" s="27"/>
    </row>
    <row r="153" spans="18:18" ht="15.75">
      <c r="R153" s="48"/>
    </row>
    <row r="154" spans="18:18" ht="15">
      <c r="R154" s="27"/>
    </row>
    <row r="155" spans="18:18" ht="15">
      <c r="R155" s="27"/>
    </row>
    <row r="156" spans="18:18" ht="15">
      <c r="R156" s="27"/>
    </row>
    <row r="157" spans="18:18" ht="15.75">
      <c r="R157" s="36"/>
    </row>
    <row r="158" spans="18:18" ht="15">
      <c r="R158" s="27"/>
    </row>
    <row r="159" spans="18:18" ht="15">
      <c r="R159" s="27"/>
    </row>
    <row r="160" spans="18:18" ht="15">
      <c r="R160" s="46"/>
    </row>
    <row r="161" spans="18:18" ht="15.75">
      <c r="R161" s="36"/>
    </row>
    <row r="162" spans="18:18" ht="15.75">
      <c r="R162" s="48"/>
    </row>
    <row r="163" spans="18:18" ht="15">
      <c r="R163" s="27"/>
    </row>
    <row r="164" spans="18:18" ht="15">
      <c r="R164" s="27"/>
    </row>
    <row r="165" spans="18:18" ht="15.75">
      <c r="R165" s="48"/>
    </row>
    <row r="166" spans="18:18" ht="15">
      <c r="R166" s="27"/>
    </row>
    <row r="167" spans="18:18" ht="15">
      <c r="R167" s="27"/>
    </row>
    <row r="168" spans="18:18" ht="15">
      <c r="R168" s="56"/>
    </row>
    <row r="169" spans="18:18" ht="15.75">
      <c r="R169" s="36"/>
    </row>
    <row r="170" spans="18:18" ht="15.75">
      <c r="R170" s="48"/>
    </row>
    <row r="171" spans="18:18" ht="15">
      <c r="R171" s="27"/>
    </row>
    <row r="172" spans="18:18" ht="15">
      <c r="R172" s="27"/>
    </row>
    <row r="173" spans="18:18" ht="15.75">
      <c r="R173" s="48"/>
    </row>
    <row r="174" spans="18:18" ht="15">
      <c r="R174" s="27"/>
    </row>
    <row r="175" spans="18:18" ht="15">
      <c r="R175" s="27"/>
    </row>
    <row r="176" spans="18:18" ht="15">
      <c r="R176" s="27"/>
    </row>
    <row r="177" spans="18:18" ht="15.75">
      <c r="R177" s="36"/>
    </row>
    <row r="178" spans="18:18" ht="15.75">
      <c r="R178" s="48"/>
    </row>
    <row r="179" spans="18:18" ht="15">
      <c r="R179" s="27"/>
    </row>
    <row r="180" spans="18:18" ht="15">
      <c r="R180" s="27"/>
    </row>
    <row r="181" spans="18:18" ht="15.75">
      <c r="R181" s="48"/>
    </row>
    <row r="182" spans="18:18" ht="15">
      <c r="R182" s="27"/>
    </row>
    <row r="183" spans="18:18" ht="15">
      <c r="R183" s="27"/>
    </row>
    <row r="184" spans="18:18" ht="15.75">
      <c r="R184" s="48"/>
    </row>
    <row r="185" spans="18:18" ht="15">
      <c r="R185" s="27"/>
    </row>
    <row r="186" spans="18:18" ht="15">
      <c r="R186" s="27"/>
    </row>
    <row r="187" spans="18:18" ht="15.75">
      <c r="R187" s="48"/>
    </row>
    <row r="188" spans="18:18" ht="15">
      <c r="R188" s="27"/>
    </row>
    <row r="189" spans="18:18" ht="15">
      <c r="R189" s="27"/>
    </row>
  </sheetData>
  <mergeCells count="20">
    <mergeCell ref="B2:G5"/>
    <mergeCell ref="B6:O6"/>
    <mergeCell ref="B7:O7"/>
    <mergeCell ref="B9:H9"/>
    <mergeCell ref="B10:B11"/>
    <mergeCell ref="C10:H11"/>
    <mergeCell ref="I10:K10"/>
    <mergeCell ref="L10:N10"/>
    <mergeCell ref="O10:O11"/>
    <mergeCell ref="B106:F106"/>
    <mergeCell ref="M106:O106"/>
    <mergeCell ref="B107:F107"/>
    <mergeCell ref="M107:O107"/>
    <mergeCell ref="C12:H12"/>
    <mergeCell ref="C99:H99"/>
    <mergeCell ref="M101:O101"/>
    <mergeCell ref="B102:F102"/>
    <mergeCell ref="M102:O102"/>
    <mergeCell ref="B104:F104"/>
    <mergeCell ref="M104:O104"/>
  </mergeCells>
  <pageMargins left="0" right="0" top="0.35433070866141736" bottom="0" header="0.31496062992125984" footer="0.31496062992125984"/>
  <pageSetup paperSize="9" scale="4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JANUARI</vt:lpstr>
      <vt:lpstr>FEB</vt:lpstr>
      <vt:lpstr>MARET</vt:lpstr>
      <vt:lpstr>APRIL</vt:lpstr>
      <vt:lpstr>MEI</vt:lpstr>
      <vt:lpstr>JUNI</vt:lpstr>
      <vt:lpstr>JULI</vt:lpstr>
      <vt:lpstr>AGUSTUS</vt:lpstr>
      <vt:lpstr>SEPT</vt:lpstr>
      <vt:lpstr>OKT</vt:lpstr>
      <vt:lpstr>NOV</vt:lpstr>
      <vt:lpstr>DES</vt:lpstr>
      <vt:lpstr>REKAP</vt:lpstr>
      <vt:lpstr>REKAP!Print_Area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sbstfasmat</dc:creator>
  <cp:lastModifiedBy>Windows10</cp:lastModifiedBy>
  <cp:lastPrinted>2024-10-16T00:43:29Z</cp:lastPrinted>
  <dcterms:created xsi:type="dcterms:W3CDTF">2024-01-16T03:01:13Z</dcterms:created>
  <dcterms:modified xsi:type="dcterms:W3CDTF">2026-10-04T06:21:53Z</dcterms:modified>
</cp:coreProperties>
</file>